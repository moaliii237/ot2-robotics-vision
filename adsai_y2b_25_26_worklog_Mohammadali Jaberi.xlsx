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Github\Block A 2\2025-26b-fai2-adsai-MohammadaliJaberi244437\"/>
    </mc:Choice>
  </mc:AlternateContent>
  <xr:revisionPtr revIDLastSave="0" documentId="13_ncr:1_{2DE3C1BF-98EA-443A-85B2-699F524855B2}"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'Worklog_Tasks&amp;Times'!$A$1:$K$12</definedName>
    <definedName name="_xlnm.Print_Area" localSheetId="0">'Worklog_Tasks&amp;Times'!$A$1:$K$82</definedName>
    <definedName name="Z_8BAC9A6B_5D32_4E8D_967D_E17D357516F8_.wvu.FilterData" localSheetId="0" hidden="1">'Worklog_Tasks&amp;Times'!$A$1:$K$12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2" l="1"/>
  <c r="B11" i="2"/>
  <c r="J10" i="2" a="1"/>
  <c r="J10" i="2" s="1"/>
  <c r="I10" i="2" a="1"/>
  <c r="I10" i="2" s="1"/>
  <c r="H10" i="2" a="1"/>
  <c r="H10" i="2" s="1"/>
  <c r="B10" i="2"/>
  <c r="G10" i="2" s="1" a="1"/>
  <c r="G10" i="2" s="1"/>
  <c r="I9" i="2" a="1"/>
  <c r="I9" i="2" s="1"/>
  <c r="C9" i="2" a="1"/>
  <c r="C9" i="2" s="1"/>
  <c r="B9" i="2"/>
  <c r="H9" i="2" s="1" a="1"/>
  <c r="H9" i="2" s="1"/>
  <c r="D8" i="2" a="1"/>
  <c r="D8" i="2" s="1"/>
  <c r="B8" i="2"/>
  <c r="I8" i="2" s="1" a="1"/>
  <c r="I8" i="2" s="1"/>
  <c r="F7" i="2" a="1"/>
  <c r="F7" i="2" s="1"/>
  <c r="E7" i="2" a="1"/>
  <c r="E7" i="2" s="1"/>
  <c r="D7" i="2" a="1"/>
  <c r="D7" i="2" s="1"/>
  <c r="C7" i="2" a="1"/>
  <c r="C7" i="2" s="1"/>
  <c r="B7" i="2"/>
  <c r="J7" i="2" s="1" a="1"/>
  <c r="J7" i="2" s="1"/>
  <c r="G6" i="2" a="1"/>
  <c r="G6" i="2" s="1"/>
  <c r="F6" i="2" a="1"/>
  <c r="F6" i="2" s="1"/>
  <c r="E6" i="2" a="1"/>
  <c r="E6" i="2" s="1"/>
  <c r="D6" i="2" a="1"/>
  <c r="D6" i="2" s="1"/>
  <c r="B6" i="2"/>
  <c r="C6" i="2" s="1" a="1"/>
  <c r="C6" i="2" s="1"/>
  <c r="G5" i="2" a="1"/>
  <c r="G5" i="2" s="1"/>
  <c r="F5" i="2" a="1"/>
  <c r="F5" i="2" s="1"/>
  <c r="E5" i="2" a="1"/>
  <c r="E5" i="2" s="1"/>
  <c r="B5" i="2"/>
  <c r="D5" i="2" s="1" a="1"/>
  <c r="D5" i="2" s="1"/>
  <c r="I4" i="2" a="1"/>
  <c r="I4" i="2" s="1"/>
  <c r="H4" i="2" a="1"/>
  <c r="H4" i="2" s="1"/>
  <c r="G4" i="2" a="1"/>
  <c r="G4" i="2" s="1"/>
  <c r="F4" i="2" a="1"/>
  <c r="F4" i="2" s="1"/>
  <c r="C4" i="2" a="1"/>
  <c r="C4" i="2" s="1"/>
  <c r="B4" i="2"/>
  <c r="E4" i="2" s="1" a="1"/>
  <c r="E4" i="2" s="1"/>
  <c r="K3" i="2"/>
  <c r="B3" i="2"/>
  <c r="H94" i="1"/>
  <c r="G94" i="1"/>
  <c r="I93" i="1"/>
  <c r="I92" i="1"/>
  <c r="H83" i="1"/>
  <c r="G83" i="1"/>
  <c r="I82" i="1"/>
  <c r="I81" i="1"/>
  <c r="H72" i="1"/>
  <c r="G72" i="1"/>
  <c r="I71" i="1"/>
  <c r="H59" i="1"/>
  <c r="G59" i="1"/>
  <c r="I58" i="1"/>
  <c r="H48" i="1"/>
  <c r="G48" i="1"/>
  <c r="I47" i="1"/>
  <c r="H37" i="1"/>
  <c r="G37" i="1"/>
  <c r="I36" i="1"/>
  <c r="I35" i="1"/>
  <c r="H25" i="1"/>
  <c r="G25" i="1"/>
  <c r="H12" i="1"/>
  <c r="G12" i="1"/>
  <c r="I11" i="1"/>
  <c r="I10" i="1"/>
  <c r="I37" i="1" l="1"/>
  <c r="I59" i="1"/>
  <c r="I48" i="1"/>
  <c r="I12" i="1"/>
  <c r="I72" i="1"/>
  <c r="I94" i="1"/>
  <c r="I25" i="1"/>
  <c r="I83" i="1"/>
  <c r="J8" i="2" a="1"/>
  <c r="J8" i="2" s="1"/>
  <c r="C8" i="2" a="1"/>
  <c r="C8" i="2" s="1"/>
  <c r="J9" i="2" a="1"/>
  <c r="J9" i="2" s="1"/>
  <c r="E8" i="2" a="1"/>
  <c r="E8" i="2" s="1"/>
  <c r="C10" i="2" a="1"/>
  <c r="C10" i="2" s="1"/>
  <c r="J4" i="2" a="1"/>
  <c r="J4" i="2" s="1"/>
  <c r="I5" i="2" a="1"/>
  <c r="I5" i="2" s="1"/>
  <c r="H6" i="2" a="1"/>
  <c r="H6" i="2" s="1"/>
  <c r="G7" i="2" a="1"/>
  <c r="G7" i="2" s="1"/>
  <c r="F8" i="2" a="1"/>
  <c r="F8" i="2" s="1"/>
  <c r="E9" i="2" a="1"/>
  <c r="E9" i="2" s="1"/>
  <c r="D10" i="2" a="1"/>
  <c r="D10" i="2" s="1"/>
  <c r="J5" i="2" a="1"/>
  <c r="J5" i="2" s="1"/>
  <c r="I6" i="2" a="1"/>
  <c r="I6" i="2" s="1"/>
  <c r="H7" i="2" a="1"/>
  <c r="H7" i="2" s="1"/>
  <c r="G8" i="2" a="1"/>
  <c r="G8" i="2" s="1"/>
  <c r="F9" i="2" a="1"/>
  <c r="F9" i="2" s="1"/>
  <c r="E10" i="2" a="1"/>
  <c r="E10" i="2" s="1"/>
  <c r="D9" i="2" a="1"/>
  <c r="D9" i="2" s="1"/>
  <c r="D4" i="2" a="1"/>
  <c r="D4" i="2" s="1"/>
  <c r="C5" i="2" a="1"/>
  <c r="C5" i="2" s="1"/>
  <c r="J6" i="2" a="1"/>
  <c r="J6" i="2" s="1"/>
  <c r="I7" i="2" a="1"/>
  <c r="I7" i="2" s="1"/>
  <c r="H8" i="2" a="1"/>
  <c r="H8" i="2" s="1"/>
  <c r="F10" i="2" a="1"/>
  <c r="F10" i="2" s="1"/>
  <c r="G9" i="2" a="1"/>
  <c r="G9" i="2" s="1"/>
  <c r="H5" i="2" a="1"/>
  <c r="H5" i="2" s="1"/>
  <c r="G12" i="2" l="1"/>
  <c r="D12" i="2"/>
  <c r="H12" i="2"/>
  <c r="I12" i="2"/>
  <c r="K5" i="2"/>
  <c r="K9" i="2"/>
  <c r="K6" i="2"/>
  <c r="K7" i="2"/>
  <c r="E12" i="2"/>
  <c r="F12" i="2"/>
  <c r="J12" i="2"/>
  <c r="K10" i="2"/>
  <c r="C12" i="2"/>
  <c r="K4" i="2"/>
  <c r="K8" i="2"/>
</calcChain>
</file>

<file path=xl/sharedStrings.xml><?xml version="1.0" encoding="utf-8"?>
<sst xmlns="http://schemas.openxmlformats.org/spreadsheetml/2006/main" count="378" uniqueCount="169">
  <si>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</si>
  <si>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</si>
  <si>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</si>
  <si>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</si>
  <si>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</si>
  <si>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</si>
  <si>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</si>
  <si>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</si>
  <si>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</si>
  <si>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</si>
  <si>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</si>
  <si>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</si>
  <si>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</si>
  <si>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</si>
  <si>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</si>
  <si>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</si>
  <si>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Max 4 hours tasks</t>
  </si>
  <si>
    <t>11/11/25</t>
  </si>
  <si>
    <t>Done</t>
  </si>
  <si>
    <t>Kick-off session</t>
  </si>
  <si>
    <t>Attend DataLab kick-off (FE1.018)</t>
  </si>
  <si>
    <t>Study</t>
  </si>
  <si>
    <t>DataLab Task 1</t>
  </si>
  <si>
    <t>Work on Task 1</t>
  </si>
  <si>
    <t>Programming</t>
  </si>
  <si>
    <t>ILO 8.5</t>
  </si>
  <si>
    <t>Continue Task 1</t>
  </si>
  <si>
    <t>Book reading</t>
  </si>
  <si>
    <t>Digital Image Processing Ch1–2</t>
  </si>
  <si>
    <t>ILO 6.4</t>
  </si>
  <si>
    <t>Self-study notebooks</t>
  </si>
  <si>
    <t>Complete W1 notebooks</t>
  </si>
  <si>
    <t>Total Hours</t>
  </si>
  <si>
    <t>Week 2</t>
  </si>
  <si>
    <t>[Enter known possible issues that are a risk for you to finish the high level week planning] - if any</t>
  </si>
  <si>
    <t>Stand-up &amp; feedback</t>
  </si>
  <si>
    <t>Stand-up and mentor feedback</t>
  </si>
  <si>
    <t>DataLab Tasks 2 &amp; 3</t>
  </si>
  <si>
    <t>Start Tasks 2 and 3</t>
  </si>
  <si>
    <t>Peer review</t>
  </si>
  <si>
    <t>Review peer masks</t>
  </si>
  <si>
    <t>DL reading</t>
  </si>
  <si>
    <t>DL with Python Ch9</t>
  </si>
  <si>
    <t>Complete W2 notebooks</t>
  </si>
  <si>
    <t>Week 3</t>
  </si>
  <si>
    <t>25/11/25</t>
  </si>
  <si>
    <t>Kaggle setup</t>
  </si>
  <si>
    <t>Join Kaggle competition and submit baseline</t>
  </si>
  <si>
    <t>DataLab tasks</t>
  </si>
  <si>
    <t>Work on assigned DataLab tasks</t>
  </si>
  <si>
    <t>Paper reading</t>
  </si>
  <si>
    <t>Dataset bias research papers</t>
  </si>
  <si>
    <t>DIP Ch10–11</t>
  </si>
  <si>
    <t>Measuring objects &amp; skeleton analysis</t>
  </si>
  <si>
    <t xml:space="preserve">Week 4 </t>
  </si>
  <si>
    <t>02/12/25</t>
  </si>
  <si>
    <t>RL &amp; Robotics kick-off</t>
  </si>
  <si>
    <t>Attend robotics and RL introduction</t>
  </si>
  <si>
    <t>Experiment tracking</t>
  </si>
  <si>
    <t>MLOps tools and remote training</t>
  </si>
  <si>
    <t>DataLab Task 9</t>
  </si>
  <si>
    <t>Robotics-related task</t>
  </si>
  <si>
    <t>DataLab Task 10</t>
  </si>
  <si>
    <t>Control systems implementation</t>
  </si>
  <si>
    <t>Robotics theory</t>
  </si>
  <si>
    <t>Robotics I–IIc materials</t>
  </si>
  <si>
    <t>PyTorch courses</t>
  </si>
  <si>
    <t>Intro &amp; intermediate PyTorch</t>
  </si>
  <si>
    <t xml:space="preserve">Week 5 </t>
  </si>
  <si>
    <t>DataLab Task 11</t>
  </si>
  <si>
    <t>Reinforcement learning task</t>
  </si>
  <si>
    <t>Presentations</t>
  </si>
  <si>
    <t>Block challenges and sessions</t>
  </si>
  <si>
    <t>Queue models</t>
  </si>
  <si>
    <t>Remote training queuing models</t>
  </si>
  <si>
    <t>DataLab Task 12</t>
  </si>
  <si>
    <t>Optional advanced task</t>
  </si>
  <si>
    <t>RL theory</t>
  </si>
  <si>
    <t>RL I–IIb materials</t>
  </si>
  <si>
    <t>PyTorch DL course</t>
  </si>
  <si>
    <t>Deep learning for images</t>
  </si>
  <si>
    <t xml:space="preserve">Week 6 </t>
  </si>
  <si>
    <t>16/12/25</t>
  </si>
  <si>
    <t>Feedback sessions</t>
  </si>
  <si>
    <t>Mentor feedback</t>
  </si>
  <si>
    <t>Robotics IV</t>
  </si>
  <si>
    <t>Controller tuning</t>
  </si>
  <si>
    <t>RL III</t>
  </si>
  <si>
    <t>Models &amp; hyperparameters</t>
  </si>
  <si>
    <t>PPO reading</t>
  </si>
  <si>
    <t>PPO blog and paper</t>
  </si>
  <si>
    <t>Week 7</t>
  </si>
  <si>
    <t>06/01/26</t>
  </si>
  <si>
    <t>CV integration</t>
  </si>
  <si>
    <t>Integrate CV with controller</t>
  </si>
  <si>
    <t>System refinement</t>
  </si>
  <si>
    <t>Review session</t>
  </si>
  <si>
    <t>Robotics and RL review</t>
  </si>
  <si>
    <t>Bug fixes and improvements</t>
  </si>
  <si>
    <t>Documentation</t>
  </si>
  <si>
    <t>Requirements review</t>
  </si>
  <si>
    <t>Week 8</t>
  </si>
  <si>
    <t>13/01/26</t>
  </si>
  <si>
    <t>Final task work</t>
  </si>
  <si>
    <t>Kaggle submission</t>
  </si>
  <si>
    <t>Final competition submission</t>
  </si>
  <si>
    <t>Final improvements</t>
  </si>
  <si>
    <t>Wrap-up</t>
  </si>
  <si>
    <t>Final review and documentation</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</si>
  <si>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</si>
  <si>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</si>
  <si>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</si>
  <si>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</si>
  <si>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</si>
  <si>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</si>
  <si>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</si>
  <si>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</si>
  <si>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</si>
  <si>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</si>
  <si>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</si>
  <si>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</si>
  <si>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t>If you add more rows to the Worklog Tasks and Time sheet, make sure to update the row count accordingly. For example, if you add an additional row for Week 1, you'll need to adjust all formula in Column C from H14 to H15 and F14 to F15</t>
  </si>
  <si>
    <t>Task Status</t>
  </si>
  <si>
    <t>ILO selection</t>
  </si>
  <si>
    <t>-</t>
  </si>
  <si>
    <t>Planned</t>
  </si>
  <si>
    <t>Design</t>
  </si>
  <si>
    <t>ILO 0.3</t>
  </si>
  <si>
    <t>Unplanned</t>
  </si>
  <si>
    <t>Meeting</t>
  </si>
  <si>
    <t>ILO 1.5</t>
  </si>
  <si>
    <t>Blocked</t>
  </si>
  <si>
    <t>ILO 2.5</t>
  </si>
  <si>
    <t>In-Progress</t>
  </si>
  <si>
    <t>Research</t>
  </si>
  <si>
    <t>ILO 3.5</t>
  </si>
  <si>
    <t>Testing</t>
  </si>
  <si>
    <t>ILO 4.4</t>
  </si>
  <si>
    <t>Delayed</t>
  </si>
  <si>
    <t>Workshop</t>
  </si>
  <si>
    <t>ILO 7.3</t>
  </si>
  <si>
    <t>Cancelled</t>
  </si>
  <si>
    <t>Planning</t>
  </si>
  <si>
    <t>ILO 11.2</t>
  </si>
  <si>
    <t>Evidencing</t>
  </si>
  <si>
    <t>Debugging</t>
  </si>
  <si>
    <t>Lecture</t>
  </si>
  <si>
    <t>Distraction</t>
  </si>
  <si>
    <t>Break</t>
  </si>
  <si>
    <t>DataLab Tasks 3</t>
  </si>
  <si>
    <t>DIP chapter 3</t>
  </si>
  <si>
    <t>DIP chapter 9</t>
  </si>
  <si>
    <t>Continue Tasks  3</t>
  </si>
  <si>
    <t xml:space="preserve">Continue Tasks 2 </t>
  </si>
  <si>
    <t>task 13</t>
  </si>
  <si>
    <t>task 11</t>
  </si>
  <si>
    <t>Tasks 12</t>
  </si>
  <si>
    <t>This task contributed to building foundational knowledge of digital image processing and clarified the overall structure and expectations of the DataLab workflow.</t>
  </si>
  <si>
    <t>Practical implementation strengthened my understanding of core image processing techniques and improved my ability to translate theoretical concepts into executable code.</t>
  </si>
  <si>
    <t>This task enhanced my understanding of computer vision workflows by applying both classical and deep learning–based approaches to image analysis problems.</t>
  </si>
  <si>
    <t>Reviewing peer work and completing advanced notebooks improved my critical evaluation skills and exposed me to alternative implementation strategies.</t>
  </si>
  <si>
    <t>Working on competition-related tasks provided practical experience with real-world datasets and highlighted the importance of robust evaluation and generalization.</t>
  </si>
  <si>
    <t>Reading research papers increased my awareness of dataset bias and informed my approach to feature extraction and model assessment.</t>
  </si>
  <si>
    <t>This task introduced new concepts in experiment tracking and robotics, improving the reproducibility and structure of my machine learning experiments.</t>
  </si>
  <si>
    <t>Implementing reinforcement learning tasks improved my understanding of sequential decision-making and the interaction between agents and environments.</t>
  </si>
  <si>
    <t>This week focused on refining and tuning models, which improved my understanding of controller performance and hyperparameter optimization.</t>
  </si>
  <si>
    <t>Reading advanced reinforcement learning materials provided deeper insight into policy optimization methods and training stability.</t>
  </si>
  <si>
    <t>Reflecting on feedback and competition results helped me evaluate my overall learning progress and identify areas for future improvement.</t>
  </si>
  <si>
    <t>Review sessions and iterative refinements helped identify weaknesses in earlier implementations and guided targeted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</si>
</sst>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mm&quot;-&quot;yyyy"/>
    <numFmt numFmtId="165" formatCode="d&quot;/&quot;m&quot;/&quot;yy"/>
    <numFmt numFmtId="166" formatCode="d/m/yy"/>
  </numFmts>
  <fonts count="13"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sz val="10"/>
      <color rgb="FF000000"/>
      <name val="Arial"/>
      <family val="2"/>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77">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4" fontId="8" fillId="0" borderId="5" xfId="0" applyNumberFormat="1" applyFont="1" applyBorder="1" applyAlignment="1">
      <alignment vertical="top"/>
    </xf>
    <xf numFmtId="0" fontId="2" fillId="0" borderId="1" xfId="0" applyFont="1" applyBorder="1" applyAlignment="1">
      <alignment horizontal="center" vertical="top"/>
    </xf>
    <xf numFmtId="0" fontId="8" fillId="0" borderId="5" xfId="0" applyFont="1" applyBorder="1" applyAlignment="1">
      <alignment vertical="top"/>
    </xf>
    <xf numFmtId="0" fontId="6" fillId="0" borderId="0" xfId="0" applyFont="1"/>
    <xf numFmtId="0" fontId="6" fillId="0" borderId="0" xfId="0" applyFont="1" applyAlignment="1">
      <alignment horizontal="center"/>
    </xf>
    <xf numFmtId="0" fontId="8" fillId="0" borderId="5" xfId="0" applyFont="1" applyBorder="1" applyAlignment="1">
      <alignment horizontal="right" vertical="top"/>
    </xf>
    <xf numFmtId="0" fontId="8" fillId="0" borderId="5"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6" xfId="0" applyFont="1" applyFill="1" applyBorder="1" applyAlignment="1">
      <alignment wrapText="1"/>
    </xf>
    <xf numFmtId="165"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6" xfId="0" applyFont="1" applyBorder="1" applyAlignment="1">
      <alignment vertical="top"/>
    </xf>
    <xf numFmtId="0" fontId="8" fillId="0" borderId="6" xfId="0" applyFont="1" applyBorder="1" applyAlignment="1">
      <alignment vertical="top" wrapText="1"/>
    </xf>
    <xf numFmtId="0" fontId="8" fillId="0" borderId="0" xfId="0" applyFont="1" applyAlignment="1">
      <alignment horizontal="left" vertical="top"/>
    </xf>
    <xf numFmtId="0" fontId="8" fillId="0" borderId="9" xfId="0" applyFont="1" applyBorder="1" applyAlignment="1">
      <alignment vertical="top"/>
    </xf>
    <xf numFmtId="166" fontId="8" fillId="0" borderId="0" xfId="0" applyNumberFormat="1" applyFont="1" applyAlignment="1">
      <alignment horizontal="right" vertical="top"/>
    </xf>
    <xf numFmtId="164" fontId="8" fillId="0" borderId="10" xfId="0" applyNumberFormat="1" applyFont="1" applyBorder="1" applyAlignment="1">
      <alignment vertical="top"/>
    </xf>
    <xf numFmtId="0" fontId="8" fillId="0" borderId="10" xfId="0" applyFont="1" applyBorder="1" applyAlignment="1">
      <alignment vertical="top"/>
    </xf>
    <xf numFmtId="0" fontId="8" fillId="0" borderId="10" xfId="0" applyFont="1" applyBorder="1" applyAlignment="1">
      <alignment horizontal="right" vertical="top"/>
    </xf>
    <xf numFmtId="0" fontId="8" fillId="0" borderId="10" xfId="0" applyFont="1" applyBorder="1" applyAlignment="1">
      <alignment horizontal="left" vertical="top"/>
    </xf>
    <xf numFmtId="0" fontId="8" fillId="0" borderId="11" xfId="0" applyFont="1" applyBorder="1" applyAlignment="1">
      <alignment vertical="top"/>
    </xf>
    <xf numFmtId="0" fontId="7" fillId="14" borderId="12" xfId="0" applyFont="1" applyFill="1" applyBorder="1" applyAlignment="1">
      <alignment vertical="center"/>
    </xf>
    <xf numFmtId="0" fontId="0" fillId="0" borderId="2" xfId="0" applyBorder="1"/>
    <xf numFmtId="0" fontId="0" fillId="0" borderId="8" xfId="0" applyBorder="1"/>
    <xf numFmtId="0" fontId="4" fillId="13" borderId="12" xfId="0" applyFont="1" applyFill="1" applyBorder="1" applyAlignment="1">
      <alignment vertical="center" wrapText="1"/>
    </xf>
    <xf numFmtId="0" fontId="7" fillId="8" borderId="12" xfId="0" applyFont="1" applyFill="1" applyBorder="1" applyAlignment="1">
      <alignment vertical="center"/>
    </xf>
    <xf numFmtId="0" fontId="4" fillId="3" borderId="7" xfId="0" applyFont="1" applyFill="1" applyBorder="1" applyAlignment="1">
      <alignment horizontal="left" vertical="center" wrapText="1"/>
    </xf>
    <xf numFmtId="0" fontId="0" fillId="0" borderId="3" xfId="0" applyBorder="1"/>
    <xf numFmtId="0" fontId="0" fillId="0" borderId="7" xfId="0" applyBorder="1"/>
    <xf numFmtId="0" fontId="7" fillId="11" borderId="12" xfId="0" applyFont="1" applyFill="1" applyBorder="1" applyAlignment="1">
      <alignment vertical="center"/>
    </xf>
    <xf numFmtId="0" fontId="4" fillId="14" borderId="12" xfId="0" applyFont="1" applyFill="1" applyBorder="1" applyAlignment="1">
      <alignment vertical="center" wrapText="1"/>
    </xf>
    <xf numFmtId="0" fontId="4" fillId="12" borderId="12" xfId="0" applyFont="1" applyFill="1" applyBorder="1" applyAlignment="1">
      <alignment vertical="center" wrapText="1"/>
    </xf>
    <xf numFmtId="0" fontId="7" fillId="13" borderId="12" xfId="0" applyFont="1" applyFill="1" applyBorder="1" applyAlignment="1">
      <alignment vertical="center"/>
    </xf>
    <xf numFmtId="0" fontId="7" fillId="12" borderId="12" xfId="0" applyFont="1" applyFill="1" applyBorder="1" applyAlignment="1">
      <alignment vertical="center"/>
    </xf>
    <xf numFmtId="0" fontId="4" fillId="10" borderId="12" xfId="0" applyFont="1" applyFill="1" applyBorder="1" applyAlignment="1">
      <alignment vertical="center" wrapText="1"/>
    </xf>
    <xf numFmtId="0" fontId="7" fillId="3" borderId="12" xfId="0" applyFont="1" applyFill="1" applyBorder="1" applyAlignment="1">
      <alignment vertical="center"/>
    </xf>
    <xf numFmtId="0" fontId="4" fillId="8" borderId="7" xfId="0" applyFont="1" applyFill="1" applyBorder="1" applyAlignment="1">
      <alignment vertical="center" wrapText="1"/>
    </xf>
    <xf numFmtId="0" fontId="7" fillId="9" borderId="12" xfId="0" applyFont="1" applyFill="1" applyBorder="1" applyAlignment="1">
      <alignment vertical="center"/>
    </xf>
    <xf numFmtId="0" fontId="7" fillId="10" borderId="12" xfId="0" applyFont="1" applyFill="1" applyBorder="1" applyAlignment="1">
      <alignment vertical="center"/>
    </xf>
    <xf numFmtId="0" fontId="4" fillId="11" borderId="12" xfId="0" applyFont="1" applyFill="1" applyBorder="1" applyAlignment="1">
      <alignment vertical="center" wrapText="1"/>
    </xf>
    <xf numFmtId="0" fontId="4" fillId="9" borderId="12" xfId="0" applyFont="1" applyFill="1" applyBorder="1" applyAlignment="1">
      <alignment vertical="center" wrapText="1"/>
    </xf>
    <xf numFmtId="0" fontId="5" fillId="7" borderId="0" xfId="0" applyFont="1" applyFill="1" applyAlignment="1">
      <alignment horizontal="center" vertical="center" wrapText="1"/>
    </xf>
    <xf numFmtId="0" fontId="0" fillId="0" borderId="0" xfId="0"/>
    <xf numFmtId="0" fontId="11" fillId="6" borderId="0" xfId="0" applyFont="1" applyFill="1" applyAlignment="1">
      <alignment vertical="top" wrapText="1"/>
    </xf>
    <xf numFmtId="0" fontId="12" fillId="0" borderId="0" xfId="0" applyFont="1"/>
  </cellXfs>
  <cellStyles count="1">
    <cellStyle name="Normal" xfId="0" builtinId="0"/>
  </cellStyles>
  <dxfs count="11">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K94"/>
  <sheetViews>
    <sheetView tabSelected="1" topLeftCell="B1" workbookViewId="0">
      <pane ySplit="1" topLeftCell="A2" activePane="bottomLeft" state="frozen"/>
      <selection pane="bottomLeft" activeCell="K81" sqref="K81"/>
    </sheetView>
  </sheetViews>
  <sheetFormatPr defaultColWidth="14.44140625" defaultRowHeight="15" customHeight="1" x14ac:dyDescent="0.25"/>
  <cols>
    <col min="1" max="1" width="9.777343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1" ht="25.95" customHeight="1" x14ac:dyDescent="0.25">
      <c r="A1" s="34" t="s">
        <v>0</v>
      </c>
      <c r="B1" s="34" t="s">
        <v>1</v>
      </c>
      <c r="C1" s="34" t="s">
        <v>2</v>
      </c>
      <c r="D1" s="34" t="s">
        <v>3</v>
      </c>
      <c r="E1" s="35" t="s">
        <v>4</v>
      </c>
      <c r="F1" s="35" t="s">
        <v>5</v>
      </c>
      <c r="G1" s="35" t="s">
        <v>6</v>
      </c>
      <c r="H1" s="35" t="s">
        <v>7</v>
      </c>
      <c r="I1" s="35" t="s">
        <v>8</v>
      </c>
      <c r="J1" s="35" t="s">
        <v>9</v>
      </c>
      <c r="K1" s="36" t="s">
        <v>10</v>
      </c>
    </row>
    <row r="2" spans="1:11" ht="18.75" customHeight="1" x14ac:dyDescent="0.25">
      <c r="A2" s="58" t="s">
        <v>11</v>
      </c>
      <c r="B2" s="59"/>
      <c r="C2" s="59"/>
      <c r="D2" s="59"/>
      <c r="E2" s="59"/>
      <c r="F2" s="59"/>
      <c r="G2" s="59"/>
      <c r="H2" s="59"/>
      <c r="I2" s="59"/>
      <c r="J2" s="59"/>
      <c r="K2" s="60"/>
    </row>
    <row r="3" spans="1:11" ht="13.05" customHeight="1" x14ac:dyDescent="0.25">
      <c r="A3" s="5" t="s">
        <v>12</v>
      </c>
      <c r="B3" s="67" t="s">
        <v>13</v>
      </c>
      <c r="C3" s="54"/>
      <c r="D3" s="54"/>
      <c r="E3" s="54"/>
      <c r="F3" s="54"/>
      <c r="G3" s="54"/>
      <c r="H3" s="54"/>
      <c r="I3" s="54"/>
      <c r="J3" s="54"/>
      <c r="K3" s="55"/>
    </row>
    <row r="4" spans="1:11" ht="27.75" customHeight="1" x14ac:dyDescent="0.25">
      <c r="A4" s="8" t="s">
        <v>14</v>
      </c>
      <c r="B4" s="67" t="s">
        <v>15</v>
      </c>
      <c r="C4" s="54"/>
      <c r="D4" s="54"/>
      <c r="E4" s="54"/>
      <c r="F4" s="54"/>
      <c r="G4" s="54"/>
      <c r="H4" s="54"/>
      <c r="I4" s="54"/>
      <c r="J4" s="54"/>
      <c r="K4" s="55"/>
    </row>
    <row r="5" spans="1:11" ht="13.05" customHeight="1" x14ac:dyDescent="0.25">
      <c r="A5" s="37" t="s">
        <v>17</v>
      </c>
      <c r="B5" s="38" t="s">
        <v>18</v>
      </c>
      <c r="C5" s="39" t="s">
        <v>19</v>
      </c>
      <c r="D5" s="38" t="s">
        <v>20</v>
      </c>
      <c r="E5" s="40" t="s">
        <v>21</v>
      </c>
      <c r="F5" s="40"/>
      <c r="G5" s="41">
        <v>1.25</v>
      </c>
      <c r="H5" s="41">
        <v>1.25</v>
      </c>
      <c r="I5" s="41">
        <v>0</v>
      </c>
      <c r="J5" s="42"/>
      <c r="K5" s="44"/>
    </row>
    <row r="6" spans="1:11" ht="13.05" customHeight="1" x14ac:dyDescent="0.25">
      <c r="A6" s="37"/>
      <c r="B6" s="38" t="s">
        <v>18</v>
      </c>
      <c r="C6" s="39" t="s">
        <v>22</v>
      </c>
      <c r="D6" s="38" t="s">
        <v>23</v>
      </c>
      <c r="E6" s="40" t="s">
        <v>24</v>
      </c>
      <c r="F6" s="40" t="s">
        <v>25</v>
      </c>
      <c r="G6" s="41">
        <v>4</v>
      </c>
      <c r="H6" s="41">
        <v>4</v>
      </c>
      <c r="I6" s="41">
        <v>0</v>
      </c>
      <c r="J6" s="42"/>
      <c r="K6" s="44"/>
    </row>
    <row r="7" spans="1:11" ht="13.05" customHeight="1" x14ac:dyDescent="0.25">
      <c r="A7" s="37"/>
      <c r="B7" s="38" t="s">
        <v>18</v>
      </c>
      <c r="C7" s="39" t="s">
        <v>22</v>
      </c>
      <c r="D7" s="38" t="s">
        <v>26</v>
      </c>
      <c r="E7" s="40" t="s">
        <v>24</v>
      </c>
      <c r="F7" s="40" t="s">
        <v>25</v>
      </c>
      <c r="G7" s="41">
        <v>3</v>
      </c>
      <c r="H7" s="41">
        <v>3</v>
      </c>
      <c r="I7" s="41">
        <v>0</v>
      </c>
      <c r="J7" s="45"/>
      <c r="K7" s="44" t="s">
        <v>157</v>
      </c>
    </row>
    <row r="8" spans="1:11" ht="13.05" customHeight="1" x14ac:dyDescent="0.25">
      <c r="A8" s="37"/>
      <c r="B8" s="38" t="s">
        <v>18</v>
      </c>
      <c r="C8" s="39" t="s">
        <v>27</v>
      </c>
      <c r="D8" s="38" t="s">
        <v>28</v>
      </c>
      <c r="E8" s="40" t="s">
        <v>21</v>
      </c>
      <c r="F8" s="40" t="s">
        <v>29</v>
      </c>
      <c r="G8" s="41">
        <v>4</v>
      </c>
      <c r="H8" s="41">
        <v>4</v>
      </c>
      <c r="I8" s="41">
        <v>0</v>
      </c>
      <c r="J8" s="45"/>
      <c r="K8" s="44"/>
    </row>
    <row r="9" spans="1:11" ht="13.05" customHeight="1" x14ac:dyDescent="0.25">
      <c r="A9" s="37"/>
      <c r="B9" s="38" t="s">
        <v>18</v>
      </c>
      <c r="C9" s="39" t="s">
        <v>30</v>
      </c>
      <c r="D9" s="38" t="s">
        <v>31</v>
      </c>
      <c r="E9" s="40" t="s">
        <v>24</v>
      </c>
      <c r="F9" s="40" t="s">
        <v>29</v>
      </c>
      <c r="G9" s="41">
        <v>12</v>
      </c>
      <c r="H9" s="41">
        <v>12</v>
      </c>
      <c r="I9" s="41">
        <v>0</v>
      </c>
      <c r="J9" s="45"/>
      <c r="K9" s="44" t="s">
        <v>158</v>
      </c>
    </row>
    <row r="10" spans="1:11" ht="13.05" customHeight="1" x14ac:dyDescent="0.25">
      <c r="A10" s="37"/>
      <c r="B10" s="38"/>
      <c r="C10" s="39" t="s">
        <v>16</v>
      </c>
      <c r="D10" s="38"/>
      <c r="E10" s="40"/>
      <c r="F10" s="40"/>
      <c r="G10" s="41"/>
      <c r="H10" s="41"/>
      <c r="I10" s="41">
        <f>H10-G10</f>
        <v>0</v>
      </c>
      <c r="J10" s="45"/>
      <c r="K10" s="44"/>
    </row>
    <row r="11" spans="1:11" ht="13.05" customHeight="1" x14ac:dyDescent="0.25">
      <c r="A11" s="37"/>
      <c r="B11" s="38"/>
      <c r="C11" s="39" t="s">
        <v>16</v>
      </c>
      <c r="D11" s="38"/>
      <c r="E11" s="40"/>
      <c r="F11" s="40"/>
      <c r="G11" s="41"/>
      <c r="H11" s="41"/>
      <c r="I11" s="41">
        <f>H11-G11</f>
        <v>0</v>
      </c>
      <c r="J11" s="45"/>
      <c r="K11" s="44"/>
    </row>
    <row r="12" spans="1:11" ht="13.05" customHeight="1" x14ac:dyDescent="0.25">
      <c r="A12" s="13"/>
      <c r="B12" s="15"/>
      <c r="C12" s="15"/>
      <c r="D12" s="15"/>
      <c r="E12" s="15" t="s">
        <v>32</v>
      </c>
      <c r="F12" s="15"/>
      <c r="G12" s="18">
        <f>SUM(G5:G11)</f>
        <v>24.25</v>
      </c>
      <c r="H12" s="18">
        <f>SUM(H5:H11)</f>
        <v>24.25</v>
      </c>
      <c r="I12" s="18">
        <f>H12-G12</f>
        <v>0</v>
      </c>
      <c r="J12" s="19"/>
      <c r="K12" s="46"/>
    </row>
    <row r="13" spans="1:11" ht="18.75" customHeight="1" x14ac:dyDescent="0.25">
      <c r="A13" s="68" t="s">
        <v>33</v>
      </c>
      <c r="B13" s="59"/>
      <c r="C13" s="59"/>
      <c r="D13" s="59"/>
      <c r="E13" s="59"/>
      <c r="F13" s="59"/>
      <c r="G13" s="59"/>
      <c r="H13" s="59"/>
      <c r="I13" s="59"/>
      <c r="J13" s="59"/>
      <c r="K13" s="60"/>
    </row>
    <row r="14" spans="1:11" ht="13.05" customHeight="1" x14ac:dyDescent="0.25">
      <c r="A14" s="31" t="s">
        <v>12</v>
      </c>
      <c r="B14" s="57" t="s">
        <v>13</v>
      </c>
      <c r="C14" s="54"/>
      <c r="D14" s="54"/>
      <c r="E14" s="54"/>
      <c r="F14" s="54"/>
      <c r="G14" s="54"/>
      <c r="H14" s="54"/>
      <c r="I14" s="54"/>
      <c r="J14" s="54"/>
      <c r="K14" s="55"/>
    </row>
    <row r="15" spans="1:11" ht="27.75" customHeight="1" x14ac:dyDescent="0.25">
      <c r="A15" s="20" t="s">
        <v>14</v>
      </c>
      <c r="B15" s="57" t="s">
        <v>34</v>
      </c>
      <c r="C15" s="54"/>
      <c r="D15" s="54"/>
      <c r="E15" s="54"/>
      <c r="F15" s="54"/>
      <c r="G15" s="54"/>
      <c r="H15" s="54"/>
      <c r="I15" s="54"/>
      <c r="J15" s="54"/>
      <c r="K15" s="55"/>
    </row>
    <row r="16" spans="1:11" ht="13.05" customHeight="1" x14ac:dyDescent="0.25">
      <c r="A16" s="47">
        <v>45979</v>
      </c>
      <c r="B16" s="38" t="s">
        <v>18</v>
      </c>
      <c r="C16" s="39" t="s">
        <v>35</v>
      </c>
      <c r="D16" s="38" t="s">
        <v>36</v>
      </c>
      <c r="E16" s="40" t="s">
        <v>21</v>
      </c>
      <c r="F16" s="40"/>
      <c r="G16" s="41">
        <v>1</v>
      </c>
      <c r="H16" s="41">
        <v>1</v>
      </c>
      <c r="I16" s="41">
        <v>0</v>
      </c>
      <c r="J16" s="45"/>
      <c r="K16" s="43"/>
    </row>
    <row r="17" spans="1:11" ht="13.05" customHeight="1" x14ac:dyDescent="0.25">
      <c r="A17" s="47"/>
      <c r="B17" s="38" t="s">
        <v>18</v>
      </c>
      <c r="C17" s="39" t="s">
        <v>37</v>
      </c>
      <c r="D17" s="38" t="s">
        <v>38</v>
      </c>
      <c r="E17" s="40" t="s">
        <v>24</v>
      </c>
      <c r="F17" s="40" t="s">
        <v>25</v>
      </c>
      <c r="G17" s="41">
        <v>4</v>
      </c>
      <c r="H17" s="41">
        <v>4</v>
      </c>
      <c r="I17" s="41">
        <v>0</v>
      </c>
      <c r="J17" s="45"/>
      <c r="K17" s="43" t="s">
        <v>159</v>
      </c>
    </row>
    <row r="18" spans="1:11" ht="13.05" customHeight="1" x14ac:dyDescent="0.25">
      <c r="A18" s="47"/>
      <c r="B18" s="38" t="s">
        <v>18</v>
      </c>
      <c r="C18" s="39" t="s">
        <v>39</v>
      </c>
      <c r="D18" s="38" t="s">
        <v>40</v>
      </c>
      <c r="E18" s="40" t="s">
        <v>21</v>
      </c>
      <c r="F18" s="40" t="s">
        <v>29</v>
      </c>
      <c r="G18" s="41">
        <v>2</v>
      </c>
      <c r="H18" s="41">
        <v>2</v>
      </c>
      <c r="I18" s="41">
        <v>0</v>
      </c>
      <c r="J18" s="45"/>
      <c r="K18" s="43" t="s">
        <v>160</v>
      </c>
    </row>
    <row r="19" spans="1:11" ht="13.05" customHeight="1" x14ac:dyDescent="0.25">
      <c r="A19" s="47"/>
      <c r="B19" s="38" t="s">
        <v>18</v>
      </c>
      <c r="C19" s="39" t="s">
        <v>37</v>
      </c>
      <c r="D19" s="38" t="s">
        <v>153</v>
      </c>
      <c r="E19" s="40" t="s">
        <v>24</v>
      </c>
      <c r="F19" s="40" t="s">
        <v>25</v>
      </c>
      <c r="G19" s="41">
        <v>4</v>
      </c>
      <c r="H19" s="41">
        <v>4</v>
      </c>
      <c r="I19" s="41">
        <v>0</v>
      </c>
      <c r="J19" s="45"/>
      <c r="K19" s="43"/>
    </row>
    <row r="20" spans="1:11" ht="13.05" customHeight="1" x14ac:dyDescent="0.25">
      <c r="A20" s="47"/>
      <c r="B20" s="38" t="s">
        <v>18</v>
      </c>
      <c r="C20" s="39" t="s">
        <v>149</v>
      </c>
      <c r="D20" s="38" t="s">
        <v>152</v>
      </c>
      <c r="E20" s="40" t="s">
        <v>24</v>
      </c>
      <c r="F20" s="40" t="s">
        <v>25</v>
      </c>
      <c r="G20" s="41">
        <v>4</v>
      </c>
      <c r="H20" s="41">
        <v>4</v>
      </c>
      <c r="I20" s="41">
        <v>0</v>
      </c>
      <c r="J20" s="45"/>
      <c r="K20" s="43"/>
    </row>
    <row r="21" spans="1:11" ht="13.05" customHeight="1" x14ac:dyDescent="0.25">
      <c r="A21" s="47"/>
      <c r="B21" s="38" t="s">
        <v>18</v>
      </c>
      <c r="C21" s="39" t="s">
        <v>27</v>
      </c>
      <c r="D21" s="38" t="s">
        <v>150</v>
      </c>
      <c r="E21" s="40" t="s">
        <v>21</v>
      </c>
      <c r="F21" s="40" t="s">
        <v>29</v>
      </c>
      <c r="G21" s="41">
        <v>4</v>
      </c>
      <c r="H21" s="41">
        <v>4</v>
      </c>
      <c r="I21" s="41">
        <v>0</v>
      </c>
      <c r="J21" s="45"/>
      <c r="K21" s="43"/>
    </row>
    <row r="22" spans="1:11" ht="13.05" customHeight="1" x14ac:dyDescent="0.25">
      <c r="A22" s="47"/>
      <c r="B22" s="38" t="s">
        <v>18</v>
      </c>
      <c r="C22" s="39" t="s">
        <v>27</v>
      </c>
      <c r="D22" s="38" t="s">
        <v>151</v>
      </c>
      <c r="E22" s="40" t="s">
        <v>21</v>
      </c>
      <c r="F22" s="40" t="s">
        <v>29</v>
      </c>
      <c r="G22" s="41">
        <v>4</v>
      </c>
      <c r="H22" s="41">
        <v>4</v>
      </c>
      <c r="I22" s="41">
        <v>0</v>
      </c>
      <c r="J22" s="45"/>
      <c r="K22" s="43"/>
    </row>
    <row r="23" spans="1:11" ht="13.05" customHeight="1" x14ac:dyDescent="0.25">
      <c r="A23" s="47"/>
      <c r="B23" s="38" t="s">
        <v>18</v>
      </c>
      <c r="C23" s="39" t="s">
        <v>41</v>
      </c>
      <c r="D23" s="38" t="s">
        <v>42</v>
      </c>
      <c r="E23" s="40" t="s">
        <v>21</v>
      </c>
      <c r="F23" s="40" t="s">
        <v>29</v>
      </c>
      <c r="G23" s="41">
        <v>3</v>
      </c>
      <c r="H23" s="41">
        <v>3</v>
      </c>
      <c r="I23" s="41">
        <v>0</v>
      </c>
      <c r="J23" s="45"/>
      <c r="K23" s="43"/>
    </row>
    <row r="24" spans="1:11" ht="13.05" customHeight="1" x14ac:dyDescent="0.25">
      <c r="A24" s="47"/>
      <c r="B24" s="38" t="s">
        <v>18</v>
      </c>
      <c r="C24" s="39" t="s">
        <v>30</v>
      </c>
      <c r="D24" s="38" t="s">
        <v>43</v>
      </c>
      <c r="E24" s="40" t="s">
        <v>24</v>
      </c>
      <c r="F24" s="40" t="s">
        <v>29</v>
      </c>
      <c r="G24" s="41">
        <v>4</v>
      </c>
      <c r="H24" s="41">
        <v>4</v>
      </c>
      <c r="I24" s="41">
        <v>0</v>
      </c>
      <c r="J24" s="45"/>
      <c r="K24" s="43"/>
    </row>
    <row r="25" spans="1:11" ht="13.05" customHeight="1" x14ac:dyDescent="0.25">
      <c r="A25" s="13"/>
      <c r="B25" s="15"/>
      <c r="C25" s="15"/>
      <c r="D25" s="15"/>
      <c r="E25" s="15" t="s">
        <v>32</v>
      </c>
      <c r="F25" s="15"/>
      <c r="G25" s="18">
        <f>SUM(G14:G24)</f>
        <v>30</v>
      </c>
      <c r="H25" s="18">
        <f>SUM(H14:H24)</f>
        <v>30</v>
      </c>
      <c r="I25" s="18">
        <f>H25-G25</f>
        <v>0</v>
      </c>
      <c r="J25" s="19"/>
      <c r="K25" s="46"/>
    </row>
    <row r="26" spans="1:11" ht="18.75" customHeight="1" x14ac:dyDescent="0.25">
      <c r="A26" s="72" t="s">
        <v>44</v>
      </c>
      <c r="B26" s="54"/>
      <c r="C26" s="54"/>
      <c r="D26" s="54"/>
      <c r="E26" s="54"/>
      <c r="F26" s="54"/>
      <c r="G26" s="54"/>
      <c r="H26" s="54"/>
      <c r="I26" s="54"/>
      <c r="J26" s="54"/>
      <c r="K26" s="55"/>
    </row>
    <row r="27" spans="1:11" ht="13.05" customHeight="1" x14ac:dyDescent="0.25">
      <c r="A27" s="21" t="s">
        <v>12</v>
      </c>
      <c r="B27" s="69" t="s">
        <v>13</v>
      </c>
      <c r="C27" s="54"/>
      <c r="D27" s="54"/>
      <c r="E27" s="54"/>
      <c r="F27" s="54"/>
      <c r="G27" s="54"/>
      <c r="H27" s="54"/>
      <c r="I27" s="54"/>
      <c r="J27" s="54"/>
      <c r="K27" s="55"/>
    </row>
    <row r="28" spans="1:11" ht="27.75" customHeight="1" x14ac:dyDescent="0.25">
      <c r="A28" s="22" t="s">
        <v>14</v>
      </c>
      <c r="B28" s="69" t="s">
        <v>15</v>
      </c>
      <c r="C28" s="54"/>
      <c r="D28" s="54"/>
      <c r="E28" s="54"/>
      <c r="F28" s="54"/>
      <c r="G28" s="54"/>
      <c r="H28" s="54"/>
      <c r="I28" s="54"/>
      <c r="J28" s="54"/>
      <c r="K28" s="55"/>
    </row>
    <row r="29" spans="1:11" ht="13.05" customHeight="1" x14ac:dyDescent="0.25">
      <c r="A29" s="37" t="s">
        <v>45</v>
      </c>
      <c r="B29" s="38" t="s">
        <v>18</v>
      </c>
      <c r="C29" s="39" t="s">
        <v>46</v>
      </c>
      <c r="D29" s="38" t="s">
        <v>47</v>
      </c>
      <c r="E29" s="40" t="s">
        <v>24</v>
      </c>
      <c r="F29" s="40" t="s">
        <v>25</v>
      </c>
      <c r="G29" s="41">
        <v>2</v>
      </c>
      <c r="H29" s="41">
        <v>2</v>
      </c>
      <c r="I29" s="41">
        <v>0</v>
      </c>
      <c r="J29" s="45"/>
      <c r="K29" s="43" t="s">
        <v>161</v>
      </c>
    </row>
    <row r="30" spans="1:11" ht="13.05" customHeight="1" x14ac:dyDescent="0.25">
      <c r="A30" s="37"/>
      <c r="B30" s="38" t="s">
        <v>18</v>
      </c>
      <c r="C30" s="39" t="s">
        <v>48</v>
      </c>
      <c r="D30" s="38" t="s">
        <v>49</v>
      </c>
      <c r="E30" s="40" t="s">
        <v>24</v>
      </c>
      <c r="F30" s="40" t="s">
        <v>25</v>
      </c>
      <c r="G30" s="41">
        <v>5</v>
      </c>
      <c r="H30" s="41">
        <v>5</v>
      </c>
      <c r="I30" s="41">
        <v>0</v>
      </c>
      <c r="J30" s="45"/>
      <c r="K30" s="43"/>
    </row>
    <row r="31" spans="1:11" ht="13.05" customHeight="1" x14ac:dyDescent="0.25">
      <c r="A31" s="37"/>
      <c r="B31" s="38" t="s">
        <v>18</v>
      </c>
      <c r="C31" s="39" t="s">
        <v>50</v>
      </c>
      <c r="D31" s="38" t="s">
        <v>51</v>
      </c>
      <c r="E31" s="40" t="s">
        <v>21</v>
      </c>
      <c r="F31" s="40" t="s">
        <v>29</v>
      </c>
      <c r="G31" s="41">
        <v>4</v>
      </c>
      <c r="H31" s="41">
        <v>4</v>
      </c>
      <c r="I31" s="41">
        <v>0</v>
      </c>
      <c r="J31" s="45"/>
      <c r="K31" s="43"/>
    </row>
    <row r="32" spans="1:11" ht="13.05" customHeight="1" x14ac:dyDescent="0.25">
      <c r="A32" s="37"/>
      <c r="B32" s="38" t="s">
        <v>18</v>
      </c>
      <c r="C32" s="39" t="s">
        <v>50</v>
      </c>
      <c r="D32" s="38" t="s">
        <v>51</v>
      </c>
      <c r="E32" s="40" t="s">
        <v>21</v>
      </c>
      <c r="F32" s="40" t="s">
        <v>29</v>
      </c>
      <c r="G32" s="41">
        <v>4</v>
      </c>
      <c r="H32" s="41">
        <v>4</v>
      </c>
      <c r="I32" s="41">
        <v>0</v>
      </c>
      <c r="J32" s="45"/>
      <c r="K32" s="43" t="s">
        <v>162</v>
      </c>
    </row>
    <row r="33" spans="1:11" ht="13.05" customHeight="1" x14ac:dyDescent="0.25">
      <c r="A33" s="37"/>
      <c r="B33" s="38" t="s">
        <v>18</v>
      </c>
      <c r="C33" s="39" t="s">
        <v>27</v>
      </c>
      <c r="D33" s="38" t="s">
        <v>52</v>
      </c>
      <c r="E33" s="40" t="s">
        <v>21</v>
      </c>
      <c r="F33" s="40" t="s">
        <v>29</v>
      </c>
      <c r="G33" s="41">
        <v>4</v>
      </c>
      <c r="H33" s="41">
        <v>4</v>
      </c>
      <c r="I33" s="41">
        <v>0</v>
      </c>
      <c r="J33" s="45"/>
      <c r="K33" s="43"/>
    </row>
    <row r="34" spans="1:11" ht="13.05" customHeight="1" x14ac:dyDescent="0.25">
      <c r="A34" s="37"/>
      <c r="B34" s="38" t="s">
        <v>18</v>
      </c>
      <c r="C34" s="39" t="s">
        <v>30</v>
      </c>
      <c r="D34" s="38" t="s">
        <v>53</v>
      </c>
      <c r="E34" s="40" t="s">
        <v>24</v>
      </c>
      <c r="F34" s="40" t="s">
        <v>29</v>
      </c>
      <c r="G34" s="41">
        <v>9</v>
      </c>
      <c r="H34" s="41">
        <v>9</v>
      </c>
      <c r="I34" s="41">
        <v>0</v>
      </c>
      <c r="J34" s="45"/>
      <c r="K34" s="43"/>
    </row>
    <row r="35" spans="1:11" ht="13.05" customHeight="1" x14ac:dyDescent="0.25">
      <c r="A35" s="37"/>
      <c r="B35" s="38"/>
      <c r="C35" s="39" t="s">
        <v>16</v>
      </c>
      <c r="D35" s="38"/>
      <c r="E35" s="40"/>
      <c r="F35" s="40"/>
      <c r="G35" s="41"/>
      <c r="H35" s="41"/>
      <c r="I35" s="41">
        <f>H35-G35</f>
        <v>0</v>
      </c>
      <c r="J35" s="45"/>
      <c r="K35" s="43"/>
    </row>
    <row r="36" spans="1:11" ht="13.05" customHeight="1" x14ac:dyDescent="0.25">
      <c r="A36" s="37"/>
      <c r="B36" s="38"/>
      <c r="C36" s="39" t="s">
        <v>16</v>
      </c>
      <c r="D36" s="38"/>
      <c r="E36" s="40"/>
      <c r="F36" s="40"/>
      <c r="G36" s="41"/>
      <c r="H36" s="41"/>
      <c r="I36" s="41">
        <f>H36-G36</f>
        <v>0</v>
      </c>
      <c r="J36" s="45"/>
      <c r="K36" s="43"/>
    </row>
    <row r="37" spans="1:11" ht="13.05" customHeight="1" x14ac:dyDescent="0.25">
      <c r="A37" s="13"/>
      <c r="B37" s="15"/>
      <c r="C37" s="15"/>
      <c r="D37" s="15"/>
      <c r="E37" s="15" t="s">
        <v>32</v>
      </c>
      <c r="F37" s="15"/>
      <c r="G37" s="18">
        <f>SUM(G29:G36)</f>
        <v>28</v>
      </c>
      <c r="H37" s="18">
        <f>SUM(H29:H36)</f>
        <v>28</v>
      </c>
      <c r="I37" s="18">
        <f>H37-G37</f>
        <v>0</v>
      </c>
      <c r="J37" s="19"/>
      <c r="K37" s="46"/>
    </row>
    <row r="38" spans="1:11" ht="18.75" customHeight="1" x14ac:dyDescent="0.25">
      <c r="A38" s="66" t="s">
        <v>54</v>
      </c>
      <c r="B38" s="54"/>
      <c r="C38" s="54"/>
      <c r="D38" s="54"/>
      <c r="E38" s="54"/>
      <c r="F38" s="54"/>
      <c r="G38" s="54"/>
      <c r="H38" s="54"/>
      <c r="I38" s="54"/>
      <c r="J38" s="54"/>
      <c r="K38" s="55"/>
    </row>
    <row r="39" spans="1:11" ht="13.05" customHeight="1" x14ac:dyDescent="0.25">
      <c r="A39" s="23" t="s">
        <v>12</v>
      </c>
      <c r="B39" s="70" t="s">
        <v>13</v>
      </c>
      <c r="C39" s="54"/>
      <c r="D39" s="54"/>
      <c r="E39" s="54"/>
      <c r="F39" s="54"/>
      <c r="G39" s="54"/>
      <c r="H39" s="54"/>
      <c r="I39" s="54"/>
      <c r="J39" s="54"/>
      <c r="K39" s="55"/>
    </row>
    <row r="40" spans="1:11" ht="27.75" customHeight="1" x14ac:dyDescent="0.25">
      <c r="A40" s="24" t="s">
        <v>14</v>
      </c>
      <c r="B40" s="70" t="s">
        <v>15</v>
      </c>
      <c r="C40" s="54"/>
      <c r="D40" s="54"/>
      <c r="E40" s="54"/>
      <c r="F40" s="54"/>
      <c r="G40" s="54"/>
      <c r="H40" s="54"/>
      <c r="I40" s="54"/>
      <c r="J40" s="54"/>
      <c r="K40" s="55"/>
    </row>
    <row r="41" spans="1:11" ht="13.05" customHeight="1" x14ac:dyDescent="0.25">
      <c r="A41" s="37" t="s">
        <v>55</v>
      </c>
      <c r="B41" s="38" t="s">
        <v>18</v>
      </c>
      <c r="C41" s="39" t="s">
        <v>56</v>
      </c>
      <c r="D41" s="38" t="s">
        <v>57</v>
      </c>
      <c r="E41" s="40" t="s">
        <v>21</v>
      </c>
      <c r="F41" s="40"/>
      <c r="G41" s="41">
        <v>1</v>
      </c>
      <c r="H41" s="41">
        <v>1</v>
      </c>
      <c r="I41" s="41">
        <v>0</v>
      </c>
      <c r="J41" s="45"/>
      <c r="K41" s="76" t="s">
        <v>163</v>
      </c>
    </row>
    <row r="42" spans="1:11" ht="13.05" customHeight="1" x14ac:dyDescent="0.25">
      <c r="A42" s="37"/>
      <c r="B42" s="38" t="s">
        <v>18</v>
      </c>
      <c r="C42" s="39" t="s">
        <v>58</v>
      </c>
      <c r="D42" s="38" t="s">
        <v>59</v>
      </c>
      <c r="E42" s="40" t="s">
        <v>24</v>
      </c>
      <c r="F42" s="40" t="s">
        <v>25</v>
      </c>
      <c r="G42" s="41">
        <v>5</v>
      </c>
      <c r="H42" s="41">
        <v>5</v>
      </c>
      <c r="I42" s="41">
        <v>0</v>
      </c>
      <c r="J42" s="45"/>
      <c r="K42" s="43"/>
    </row>
    <row r="43" spans="1:11" ht="13.05" customHeight="1" x14ac:dyDescent="0.25">
      <c r="A43" s="37"/>
      <c r="B43" s="38" t="s">
        <v>18</v>
      </c>
      <c r="C43" s="39" t="s">
        <v>60</v>
      </c>
      <c r="D43" s="38" t="s">
        <v>61</v>
      </c>
      <c r="E43" s="40" t="s">
        <v>24</v>
      </c>
      <c r="F43" s="40" t="s">
        <v>25</v>
      </c>
      <c r="G43" s="41">
        <v>4</v>
      </c>
      <c r="H43" s="41">
        <v>4</v>
      </c>
      <c r="I43" s="41">
        <v>0</v>
      </c>
      <c r="J43" s="45"/>
      <c r="K43" s="43"/>
    </row>
    <row r="44" spans="1:11" ht="13.05" customHeight="1" x14ac:dyDescent="0.25">
      <c r="A44" s="37"/>
      <c r="B44" s="38" t="s">
        <v>18</v>
      </c>
      <c r="C44" s="39" t="s">
        <v>62</v>
      </c>
      <c r="D44" s="38" t="s">
        <v>63</v>
      </c>
      <c r="E44" s="40" t="s">
        <v>24</v>
      </c>
      <c r="F44" s="40" t="s">
        <v>25</v>
      </c>
      <c r="G44" s="41">
        <v>4</v>
      </c>
      <c r="H44" s="41">
        <v>4</v>
      </c>
      <c r="I44" s="41">
        <v>0</v>
      </c>
      <c r="J44" s="45"/>
      <c r="K44" s="43"/>
    </row>
    <row r="45" spans="1:11" ht="13.05" customHeight="1" x14ac:dyDescent="0.25">
      <c r="A45" s="37"/>
      <c r="B45" s="38" t="s">
        <v>18</v>
      </c>
      <c r="C45" s="39" t="s">
        <v>64</v>
      </c>
      <c r="D45" s="38" t="s">
        <v>65</v>
      </c>
      <c r="E45" s="40" t="s">
        <v>21</v>
      </c>
      <c r="F45" s="40" t="s">
        <v>29</v>
      </c>
      <c r="G45" s="41">
        <v>5</v>
      </c>
      <c r="H45" s="41">
        <v>5</v>
      </c>
      <c r="I45" s="41">
        <v>0</v>
      </c>
      <c r="J45" s="45"/>
      <c r="K45" s="43"/>
    </row>
    <row r="46" spans="1:11" ht="13.05" customHeight="1" x14ac:dyDescent="0.25">
      <c r="A46" s="37"/>
      <c r="B46" s="38" t="s">
        <v>18</v>
      </c>
      <c r="C46" s="39" t="s">
        <v>66</v>
      </c>
      <c r="D46" s="38" t="s">
        <v>67</v>
      </c>
      <c r="E46" s="40" t="s">
        <v>24</v>
      </c>
      <c r="F46" s="40" t="s">
        <v>29</v>
      </c>
      <c r="G46" s="41">
        <v>5</v>
      </c>
      <c r="H46" s="41">
        <v>5</v>
      </c>
      <c r="I46" s="41">
        <v>0</v>
      </c>
      <c r="J46" s="45"/>
      <c r="K46" s="43"/>
    </row>
    <row r="47" spans="1:11" ht="13.05" customHeight="1" x14ac:dyDescent="0.25">
      <c r="A47" s="37"/>
      <c r="B47" s="38"/>
      <c r="C47" s="39" t="s">
        <v>16</v>
      </c>
      <c r="D47" s="38"/>
      <c r="E47" s="40"/>
      <c r="F47" s="40"/>
      <c r="G47" s="41"/>
      <c r="H47" s="41"/>
      <c r="I47" s="41">
        <f>H47-G47</f>
        <v>0</v>
      </c>
      <c r="J47" s="45"/>
      <c r="K47" s="43"/>
    </row>
    <row r="48" spans="1:11" ht="13.05" customHeight="1" x14ac:dyDescent="0.25">
      <c r="A48" s="13"/>
      <c r="B48" s="15"/>
      <c r="C48" s="15"/>
      <c r="D48" s="15"/>
      <c r="E48" s="15" t="s">
        <v>32</v>
      </c>
      <c r="F48" s="15"/>
      <c r="G48" s="18">
        <f>SUM(G41:G47)</f>
        <v>24</v>
      </c>
      <c r="H48" s="18">
        <f>SUM(H41:H47)</f>
        <v>24</v>
      </c>
      <c r="I48" s="18">
        <f>H48-G48</f>
        <v>0</v>
      </c>
      <c r="J48" s="19"/>
      <c r="K48" s="46"/>
    </row>
    <row r="49" spans="1:11" ht="18.75" customHeight="1" x14ac:dyDescent="0.25">
      <c r="A49" s="71" t="s">
        <v>68</v>
      </c>
      <c r="B49" s="54"/>
      <c r="C49" s="54"/>
      <c r="D49" s="54"/>
      <c r="E49" s="54"/>
      <c r="F49" s="54"/>
      <c r="G49" s="54"/>
      <c r="H49" s="54"/>
      <c r="I49" s="54"/>
      <c r="J49" s="54"/>
      <c r="K49" s="55"/>
    </row>
    <row r="50" spans="1:11" ht="13.05" customHeight="1" x14ac:dyDescent="0.25">
      <c r="A50" s="25" t="s">
        <v>12</v>
      </c>
      <c r="B50" s="61" t="s">
        <v>13</v>
      </c>
      <c r="C50" s="54"/>
      <c r="D50" s="54"/>
      <c r="E50" s="54"/>
      <c r="F50" s="54"/>
      <c r="G50" s="54"/>
      <c r="H50" s="54"/>
      <c r="I50" s="54"/>
      <c r="J50" s="54"/>
      <c r="K50" s="55"/>
    </row>
    <row r="51" spans="1:11" ht="27.75" customHeight="1" x14ac:dyDescent="0.25">
      <c r="A51" s="26" t="s">
        <v>14</v>
      </c>
      <c r="B51" s="61" t="s">
        <v>15</v>
      </c>
      <c r="C51" s="54"/>
      <c r="D51" s="54"/>
      <c r="E51" s="54"/>
      <c r="F51" s="54"/>
      <c r="G51" s="54"/>
      <c r="H51" s="54"/>
      <c r="I51" s="54"/>
      <c r="J51" s="54"/>
      <c r="K51" s="55"/>
    </row>
    <row r="52" spans="1:11" ht="13.05" customHeight="1" x14ac:dyDescent="0.25">
      <c r="A52" s="37">
        <v>46000</v>
      </c>
      <c r="B52" s="38" t="s">
        <v>18</v>
      </c>
      <c r="C52" s="39" t="s">
        <v>69</v>
      </c>
      <c r="D52" s="38" t="s">
        <v>70</v>
      </c>
      <c r="E52" s="40" t="s">
        <v>24</v>
      </c>
      <c r="F52" s="40" t="s">
        <v>25</v>
      </c>
      <c r="G52" s="41">
        <v>6</v>
      </c>
      <c r="H52" s="41">
        <v>6</v>
      </c>
      <c r="I52" s="41">
        <v>0</v>
      </c>
      <c r="J52" s="45"/>
      <c r="K52" s="43"/>
    </row>
    <row r="53" spans="1:11" ht="13.05" customHeight="1" x14ac:dyDescent="0.25">
      <c r="A53" s="37"/>
      <c r="B53" s="38" t="s">
        <v>18</v>
      </c>
      <c r="C53" s="39" t="s">
        <v>71</v>
      </c>
      <c r="D53" s="38" t="s">
        <v>72</v>
      </c>
      <c r="E53" s="40" t="s">
        <v>21</v>
      </c>
      <c r="F53" s="40" t="s">
        <v>29</v>
      </c>
      <c r="G53" s="41">
        <v>3</v>
      </c>
      <c r="H53" s="41">
        <v>3</v>
      </c>
      <c r="I53" s="41">
        <v>0</v>
      </c>
      <c r="J53" s="45"/>
      <c r="K53" s="43"/>
    </row>
    <row r="54" spans="1:11" ht="13.05" customHeight="1" x14ac:dyDescent="0.25">
      <c r="A54" s="37"/>
      <c r="B54" s="38" t="s">
        <v>18</v>
      </c>
      <c r="C54" s="39" t="s">
        <v>73</v>
      </c>
      <c r="D54" s="38" t="s">
        <v>74</v>
      </c>
      <c r="E54" s="40" t="s">
        <v>21</v>
      </c>
      <c r="F54" s="40" t="s">
        <v>29</v>
      </c>
      <c r="G54" s="41">
        <v>2</v>
      </c>
      <c r="H54" s="41">
        <v>2</v>
      </c>
      <c r="I54" s="41">
        <v>0</v>
      </c>
      <c r="J54" s="45"/>
      <c r="K54" s="43"/>
    </row>
    <row r="55" spans="1:11" ht="13.05" customHeight="1" x14ac:dyDescent="0.25">
      <c r="A55" s="37"/>
      <c r="B55" s="38" t="s">
        <v>18</v>
      </c>
      <c r="C55" s="39" t="s">
        <v>75</v>
      </c>
      <c r="D55" s="38" t="s">
        <v>76</v>
      </c>
      <c r="E55" s="40" t="s">
        <v>24</v>
      </c>
      <c r="F55" s="40" t="s">
        <v>25</v>
      </c>
      <c r="G55" s="41">
        <v>3</v>
      </c>
      <c r="H55" s="41">
        <v>3</v>
      </c>
      <c r="I55" s="41">
        <v>0</v>
      </c>
      <c r="J55" s="45"/>
      <c r="K55" s="43"/>
    </row>
    <row r="56" spans="1:11" ht="13.05" customHeight="1" x14ac:dyDescent="0.25">
      <c r="A56" s="37"/>
      <c r="B56" s="38" t="s">
        <v>18</v>
      </c>
      <c r="C56" s="39" t="s">
        <v>77</v>
      </c>
      <c r="D56" s="38" t="s">
        <v>78</v>
      </c>
      <c r="E56" s="40" t="s">
        <v>21</v>
      </c>
      <c r="F56" s="40" t="s">
        <v>29</v>
      </c>
      <c r="G56" s="41">
        <v>6</v>
      </c>
      <c r="H56" s="41">
        <v>6</v>
      </c>
      <c r="I56" s="41">
        <v>0</v>
      </c>
      <c r="J56" s="45"/>
      <c r="K56" s="43" t="s">
        <v>164</v>
      </c>
    </row>
    <row r="57" spans="1:11" ht="13.05" customHeight="1" x14ac:dyDescent="0.25">
      <c r="A57" s="37"/>
      <c r="B57" s="38" t="s">
        <v>18</v>
      </c>
      <c r="C57" s="39" t="s">
        <v>79</v>
      </c>
      <c r="D57" s="38" t="s">
        <v>80</v>
      </c>
      <c r="E57" s="40" t="s">
        <v>24</v>
      </c>
      <c r="F57" s="40" t="s">
        <v>29</v>
      </c>
      <c r="G57" s="41">
        <v>4</v>
      </c>
      <c r="H57" s="41">
        <v>4</v>
      </c>
      <c r="I57" s="41">
        <v>0</v>
      </c>
      <c r="J57" s="45"/>
      <c r="K57" s="43"/>
    </row>
    <row r="58" spans="1:11" ht="13.05" customHeight="1" x14ac:dyDescent="0.25">
      <c r="A58" s="37"/>
      <c r="B58" s="38"/>
      <c r="C58" s="39" t="s">
        <v>16</v>
      </c>
      <c r="D58" s="38"/>
      <c r="E58" s="40"/>
      <c r="F58" s="40"/>
      <c r="G58" s="41"/>
      <c r="H58" s="41"/>
      <c r="I58" s="41">
        <f>H58-G58</f>
        <v>0</v>
      </c>
      <c r="J58" s="45"/>
      <c r="K58" s="43"/>
    </row>
    <row r="59" spans="1:11" ht="13.05" customHeight="1" x14ac:dyDescent="0.25">
      <c r="A59" s="13"/>
      <c r="B59" s="15"/>
      <c r="C59" s="15"/>
      <c r="D59" s="15"/>
      <c r="E59" s="15" t="s">
        <v>32</v>
      </c>
      <c r="F59" s="15"/>
      <c r="G59" s="18">
        <f>SUM(G52:G58)</f>
        <v>24</v>
      </c>
      <c r="H59" s="18">
        <f>SUM(H52:H58)</f>
        <v>24</v>
      </c>
      <c r="I59" s="18">
        <f>H59-G59</f>
        <v>0</v>
      </c>
      <c r="J59" s="19"/>
      <c r="K59" s="46"/>
    </row>
    <row r="60" spans="1:11" ht="18.75" customHeight="1" x14ac:dyDescent="0.25">
      <c r="A60" s="63" t="s">
        <v>81</v>
      </c>
      <c r="B60" s="54"/>
      <c r="C60" s="54"/>
      <c r="D60" s="54"/>
      <c r="E60" s="54"/>
      <c r="F60" s="54"/>
      <c r="G60" s="54"/>
      <c r="H60" s="54"/>
      <c r="I60" s="54"/>
      <c r="J60" s="54"/>
      <c r="K60" s="55"/>
    </row>
    <row r="61" spans="1:11" ht="13.05" customHeight="1" x14ac:dyDescent="0.25">
      <c r="A61" s="27" t="s">
        <v>12</v>
      </c>
      <c r="B61" s="65" t="s">
        <v>13</v>
      </c>
      <c r="C61" s="54"/>
      <c r="D61" s="54"/>
      <c r="E61" s="54"/>
      <c r="F61" s="54"/>
      <c r="G61" s="54"/>
      <c r="H61" s="54"/>
      <c r="I61" s="54"/>
      <c r="J61" s="54"/>
      <c r="K61" s="55"/>
    </row>
    <row r="62" spans="1:11" ht="27.75" customHeight="1" x14ac:dyDescent="0.25">
      <c r="A62" s="28" t="s">
        <v>14</v>
      </c>
      <c r="B62" s="65" t="s">
        <v>15</v>
      </c>
      <c r="C62" s="54"/>
      <c r="D62" s="54"/>
      <c r="E62" s="54"/>
      <c r="F62" s="54"/>
      <c r="G62" s="54"/>
      <c r="H62" s="54"/>
      <c r="I62" s="54"/>
      <c r="J62" s="54"/>
      <c r="K62" s="55"/>
    </row>
    <row r="63" spans="1:11" ht="13.05" customHeight="1" x14ac:dyDescent="0.25">
      <c r="A63" s="37" t="s">
        <v>82</v>
      </c>
      <c r="B63" s="38" t="s">
        <v>18</v>
      </c>
      <c r="C63" s="39" t="s">
        <v>83</v>
      </c>
      <c r="D63" s="38" t="s">
        <v>84</v>
      </c>
      <c r="E63" s="40" t="s">
        <v>21</v>
      </c>
      <c r="F63" s="40"/>
      <c r="G63" s="41">
        <v>1</v>
      </c>
      <c r="H63" s="41">
        <v>1</v>
      </c>
      <c r="I63" s="41">
        <v>0</v>
      </c>
      <c r="J63" s="45"/>
      <c r="K63" s="43" t="s">
        <v>165</v>
      </c>
    </row>
    <row r="64" spans="1:11" ht="13.05" customHeight="1" x14ac:dyDescent="0.25">
      <c r="A64" s="37"/>
      <c r="B64" s="38" t="s">
        <v>18</v>
      </c>
      <c r="C64" s="39" t="s">
        <v>48</v>
      </c>
      <c r="D64" s="38" t="s">
        <v>155</v>
      </c>
      <c r="E64" s="40"/>
      <c r="F64" s="40" t="s">
        <v>25</v>
      </c>
      <c r="G64" s="41">
        <v>3.5</v>
      </c>
      <c r="H64" s="41">
        <v>3.5</v>
      </c>
      <c r="I64" s="41"/>
      <c r="J64" s="45"/>
      <c r="K64" s="43"/>
    </row>
    <row r="65" spans="1:11" ht="13.05" customHeight="1" x14ac:dyDescent="0.25">
      <c r="A65" s="37"/>
      <c r="B65" s="38" t="s">
        <v>18</v>
      </c>
      <c r="C65" s="39" t="s">
        <v>48</v>
      </c>
      <c r="D65" s="38" t="s">
        <v>156</v>
      </c>
      <c r="E65" s="40" t="s">
        <v>24</v>
      </c>
      <c r="F65" s="40" t="s">
        <v>25</v>
      </c>
      <c r="G65" s="41">
        <v>3.5</v>
      </c>
      <c r="H65" s="41">
        <v>3.5</v>
      </c>
      <c r="I65" s="41">
        <v>0</v>
      </c>
      <c r="J65" s="45"/>
      <c r="K65" s="43"/>
    </row>
    <row r="66" spans="1:11" ht="13.05" customHeight="1" x14ac:dyDescent="0.25">
      <c r="A66" s="37"/>
      <c r="B66" s="38" t="s">
        <v>18</v>
      </c>
      <c r="C66" s="39" t="s">
        <v>48</v>
      </c>
      <c r="D66" s="38" t="s">
        <v>154</v>
      </c>
      <c r="E66" s="40"/>
      <c r="F66" s="40" t="s">
        <v>25</v>
      </c>
      <c r="G66" s="41">
        <v>3</v>
      </c>
      <c r="H66" s="41">
        <v>3</v>
      </c>
      <c r="I66" s="41"/>
      <c r="J66" s="45"/>
      <c r="K66" s="43"/>
    </row>
    <row r="67" spans="1:11" ht="13.05" customHeight="1" x14ac:dyDescent="0.25">
      <c r="A67" s="37"/>
      <c r="B67" s="38" t="s">
        <v>18</v>
      </c>
      <c r="C67" s="39" t="s">
        <v>48</v>
      </c>
      <c r="D67" s="38" t="s">
        <v>156</v>
      </c>
      <c r="E67" s="40" t="s">
        <v>24</v>
      </c>
      <c r="F67" s="40" t="s">
        <v>25</v>
      </c>
      <c r="G67" s="41">
        <v>3</v>
      </c>
      <c r="H67" s="41">
        <v>6</v>
      </c>
      <c r="I67" s="41">
        <v>0</v>
      </c>
      <c r="J67" s="45"/>
      <c r="K67" s="43"/>
    </row>
    <row r="68" spans="1:11" ht="13.05" customHeight="1" x14ac:dyDescent="0.25">
      <c r="A68" s="37"/>
      <c r="B68" s="38" t="s">
        <v>18</v>
      </c>
      <c r="C68" s="39" t="s">
        <v>85</v>
      </c>
      <c r="D68" s="38" t="s">
        <v>86</v>
      </c>
      <c r="E68" s="40" t="s">
        <v>21</v>
      </c>
      <c r="F68" s="40" t="s">
        <v>29</v>
      </c>
      <c r="G68" s="41">
        <v>4</v>
      </c>
      <c r="H68" s="41">
        <v>4</v>
      </c>
      <c r="I68" s="41">
        <v>0</v>
      </c>
      <c r="J68" s="45"/>
      <c r="K68" s="43"/>
    </row>
    <row r="69" spans="1:11" ht="13.05" customHeight="1" x14ac:dyDescent="0.25">
      <c r="A69" s="37"/>
      <c r="B69" s="38" t="s">
        <v>18</v>
      </c>
      <c r="C69" s="39" t="s">
        <v>87</v>
      </c>
      <c r="D69" s="38" t="s">
        <v>88</v>
      </c>
      <c r="E69" s="40" t="s">
        <v>21</v>
      </c>
      <c r="F69" s="40" t="s">
        <v>29</v>
      </c>
      <c r="G69" s="41">
        <v>4</v>
      </c>
      <c r="H69" s="41">
        <v>4</v>
      </c>
      <c r="I69" s="41">
        <v>0</v>
      </c>
      <c r="J69" s="45"/>
      <c r="K69" s="43" t="s">
        <v>166</v>
      </c>
    </row>
    <row r="70" spans="1:11" ht="13.05" customHeight="1" x14ac:dyDescent="0.25">
      <c r="A70" s="37"/>
      <c r="B70" s="38" t="s">
        <v>18</v>
      </c>
      <c r="C70" s="39" t="s">
        <v>89</v>
      </c>
      <c r="D70" s="38" t="s">
        <v>90</v>
      </c>
      <c r="E70" s="40" t="s">
        <v>21</v>
      </c>
      <c r="F70" s="40" t="s">
        <v>29</v>
      </c>
      <c r="G70" s="41">
        <v>2</v>
      </c>
      <c r="H70" s="41">
        <v>2</v>
      </c>
      <c r="I70" s="41">
        <v>0</v>
      </c>
      <c r="J70" s="45"/>
      <c r="K70" s="43"/>
    </row>
    <row r="71" spans="1:11" ht="13.05" customHeight="1" x14ac:dyDescent="0.25">
      <c r="A71" s="37"/>
      <c r="B71" s="38"/>
      <c r="C71" s="39" t="s">
        <v>16</v>
      </c>
      <c r="D71" s="38"/>
      <c r="E71" s="40"/>
      <c r="F71" s="40"/>
      <c r="G71" s="41"/>
      <c r="H71" s="41"/>
      <c r="I71" s="41">
        <f>H71-G71</f>
        <v>0</v>
      </c>
      <c r="J71" s="45"/>
      <c r="K71" s="43"/>
    </row>
    <row r="72" spans="1:11" ht="13.05" customHeight="1" x14ac:dyDescent="0.25">
      <c r="A72" s="13"/>
      <c r="B72" s="15"/>
      <c r="C72" s="15"/>
      <c r="D72" s="15"/>
      <c r="E72" s="15" t="s">
        <v>32</v>
      </c>
      <c r="F72" s="15"/>
      <c r="G72" s="18">
        <f>SUM(G63:G71)</f>
        <v>24</v>
      </c>
      <c r="H72" s="18">
        <f>SUM(H63:H71)</f>
        <v>27</v>
      </c>
      <c r="I72" s="18">
        <f>H72-G72</f>
        <v>3</v>
      </c>
      <c r="J72" s="19"/>
      <c r="K72" s="46"/>
    </row>
    <row r="73" spans="1:11" ht="18.75" customHeight="1" x14ac:dyDescent="0.25">
      <c r="A73" s="56" t="s">
        <v>91</v>
      </c>
      <c r="B73" s="54"/>
      <c r="C73" s="54"/>
      <c r="D73" s="54"/>
      <c r="E73" s="54"/>
      <c r="F73" s="54"/>
      <c r="G73" s="54"/>
      <c r="H73" s="54"/>
      <c r="I73" s="54"/>
      <c r="J73" s="54"/>
      <c r="K73" s="55"/>
    </row>
    <row r="74" spans="1:11" ht="13.05" customHeight="1" x14ac:dyDescent="0.25">
      <c r="A74" s="29" t="s">
        <v>12</v>
      </c>
      <c r="B74" s="64" t="s">
        <v>13</v>
      </c>
      <c r="C74" s="54"/>
      <c r="D74" s="54"/>
      <c r="E74" s="54"/>
      <c r="F74" s="54"/>
      <c r="G74" s="54"/>
      <c r="H74" s="54"/>
      <c r="I74" s="54"/>
      <c r="J74" s="54"/>
      <c r="K74" s="55"/>
    </row>
    <row r="75" spans="1:11" ht="28.5" customHeight="1" x14ac:dyDescent="0.25">
      <c r="A75" s="30" t="s">
        <v>14</v>
      </c>
      <c r="B75" s="64" t="s">
        <v>15</v>
      </c>
      <c r="C75" s="54"/>
      <c r="D75" s="54"/>
      <c r="E75" s="54"/>
      <c r="F75" s="54"/>
      <c r="G75" s="54"/>
      <c r="H75" s="54"/>
      <c r="I75" s="54"/>
      <c r="J75" s="54"/>
      <c r="K75" s="55"/>
    </row>
    <row r="76" spans="1:11" ht="13.05" customHeight="1" x14ac:dyDescent="0.25">
      <c r="A76" s="37" t="s">
        <v>92</v>
      </c>
      <c r="B76" s="38" t="s">
        <v>18</v>
      </c>
      <c r="C76" s="39" t="s">
        <v>93</v>
      </c>
      <c r="D76" s="38" t="s">
        <v>94</v>
      </c>
      <c r="E76" s="40" t="s">
        <v>24</v>
      </c>
      <c r="F76" s="40" t="s">
        <v>25</v>
      </c>
      <c r="G76" s="41">
        <v>6</v>
      </c>
      <c r="H76" s="41">
        <v>6</v>
      </c>
      <c r="I76" s="41">
        <v>0</v>
      </c>
      <c r="J76" s="45"/>
      <c r="K76" s="43"/>
    </row>
    <row r="77" spans="1:11" ht="13.05" customHeight="1" x14ac:dyDescent="0.25">
      <c r="A77" s="37"/>
      <c r="B77" s="38" t="s">
        <v>18</v>
      </c>
      <c r="C77" s="39" t="s">
        <v>48</v>
      </c>
      <c r="D77" s="38" t="s">
        <v>95</v>
      </c>
      <c r="E77" s="40" t="s">
        <v>24</v>
      </c>
      <c r="F77" s="40" t="s">
        <v>25</v>
      </c>
      <c r="G77" s="41">
        <v>4</v>
      </c>
      <c r="H77" s="41">
        <v>4</v>
      </c>
      <c r="I77" s="41">
        <v>0</v>
      </c>
      <c r="J77" s="45"/>
      <c r="K77" s="43"/>
    </row>
    <row r="78" spans="1:11" ht="13.05" customHeight="1" x14ac:dyDescent="0.25">
      <c r="A78" s="37"/>
      <c r="B78" s="38" t="s">
        <v>18</v>
      </c>
      <c r="C78" s="39" t="s">
        <v>96</v>
      </c>
      <c r="D78" s="38" t="s">
        <v>97</v>
      </c>
      <c r="E78" s="40" t="s">
        <v>21</v>
      </c>
      <c r="F78" s="40" t="s">
        <v>29</v>
      </c>
      <c r="G78" s="41">
        <v>2</v>
      </c>
      <c r="H78" s="41">
        <v>2</v>
      </c>
      <c r="I78" s="41">
        <v>0</v>
      </c>
      <c r="J78" s="45"/>
      <c r="K78" s="43"/>
    </row>
    <row r="79" spans="1:11" ht="13.05" customHeight="1" x14ac:dyDescent="0.25">
      <c r="A79" s="37"/>
      <c r="B79" s="38" t="s">
        <v>18</v>
      </c>
      <c r="C79" s="39" t="s">
        <v>48</v>
      </c>
      <c r="D79" s="38" t="s">
        <v>98</v>
      </c>
      <c r="E79" s="40" t="s">
        <v>24</v>
      </c>
      <c r="F79" s="40" t="s">
        <v>25</v>
      </c>
      <c r="G79" s="41">
        <v>6</v>
      </c>
      <c r="H79" s="41">
        <v>6</v>
      </c>
      <c r="I79" s="41">
        <v>0</v>
      </c>
      <c r="J79" s="45"/>
      <c r="K79" s="43" t="s">
        <v>168</v>
      </c>
    </row>
    <row r="80" spans="1:11" ht="13.05" customHeight="1" x14ac:dyDescent="0.25">
      <c r="A80" s="37"/>
      <c r="B80" s="38" t="s">
        <v>18</v>
      </c>
      <c r="C80" s="39" t="s">
        <v>99</v>
      </c>
      <c r="D80" s="38" t="s">
        <v>100</v>
      </c>
      <c r="E80" s="40" t="s">
        <v>21</v>
      </c>
      <c r="F80" s="40" t="s">
        <v>29</v>
      </c>
      <c r="G80" s="41">
        <v>6</v>
      </c>
      <c r="H80" s="41">
        <v>6</v>
      </c>
      <c r="I80" s="41">
        <v>0</v>
      </c>
      <c r="J80" s="45"/>
      <c r="K80" s="43"/>
    </row>
    <row r="81" spans="1:11" ht="13.05" customHeight="1" x14ac:dyDescent="0.25">
      <c r="A81" s="37"/>
      <c r="B81" s="38"/>
      <c r="C81" s="39" t="s">
        <v>16</v>
      </c>
      <c r="D81" s="38"/>
      <c r="E81" s="40"/>
      <c r="F81" s="40"/>
      <c r="G81" s="41"/>
      <c r="H81" s="41"/>
      <c r="I81" s="41">
        <f>H81-G81</f>
        <v>0</v>
      </c>
      <c r="J81" s="45"/>
      <c r="K81" s="43"/>
    </row>
    <row r="82" spans="1:11" ht="13.05" customHeight="1" x14ac:dyDescent="0.25">
      <c r="A82" s="37"/>
      <c r="B82" s="38"/>
      <c r="C82" s="39" t="s">
        <v>16</v>
      </c>
      <c r="D82" s="38"/>
      <c r="E82" s="40"/>
      <c r="F82" s="40"/>
      <c r="G82" s="41"/>
      <c r="H82" s="41"/>
      <c r="I82" s="41">
        <f>H82-G82</f>
        <v>0</v>
      </c>
      <c r="J82" s="45"/>
      <c r="K82" s="43"/>
    </row>
    <row r="83" spans="1:11" ht="13.05" customHeight="1" x14ac:dyDescent="0.25">
      <c r="A83" s="13"/>
      <c r="B83" s="15"/>
      <c r="C83" s="15"/>
      <c r="D83" s="15"/>
      <c r="E83" s="15" t="s">
        <v>32</v>
      </c>
      <c r="F83" s="15"/>
      <c r="G83" s="18">
        <f>SUM(G76:G82)</f>
        <v>24</v>
      </c>
      <c r="H83" s="18">
        <f>SUM(H76:H82)</f>
        <v>24</v>
      </c>
      <c r="I83" s="18">
        <f>H83-G83</f>
        <v>0</v>
      </c>
      <c r="J83" s="19"/>
      <c r="K83" s="46"/>
    </row>
    <row r="84" spans="1:11" ht="18.75" customHeight="1" x14ac:dyDescent="0.25">
      <c r="A84" s="62" t="s">
        <v>101</v>
      </c>
      <c r="B84" s="54"/>
      <c r="C84" s="54"/>
      <c r="D84" s="54"/>
      <c r="E84" s="54"/>
      <c r="F84" s="54"/>
      <c r="G84" s="54"/>
      <c r="H84" s="54"/>
      <c r="I84" s="54"/>
      <c r="J84" s="54"/>
      <c r="K84" s="55"/>
    </row>
    <row r="85" spans="1:11" ht="13.05" customHeight="1" x14ac:dyDescent="0.25">
      <c r="A85" s="32" t="s">
        <v>12</v>
      </c>
      <c r="B85" s="53" t="s">
        <v>13</v>
      </c>
      <c r="C85" s="54"/>
      <c r="D85" s="54"/>
      <c r="E85" s="54"/>
      <c r="F85" s="54"/>
      <c r="G85" s="54"/>
      <c r="H85" s="54"/>
      <c r="I85" s="54"/>
      <c r="J85" s="54"/>
      <c r="K85" s="55"/>
    </row>
    <row r="86" spans="1:11" ht="28.5" customHeight="1" x14ac:dyDescent="0.25">
      <c r="A86" s="33" t="s">
        <v>14</v>
      </c>
      <c r="B86" s="53" t="s">
        <v>15</v>
      </c>
      <c r="C86" s="54"/>
      <c r="D86" s="54"/>
      <c r="E86" s="54"/>
      <c r="F86" s="54"/>
      <c r="G86" s="54"/>
      <c r="H86" s="54"/>
      <c r="I86" s="54"/>
      <c r="J86" s="54"/>
      <c r="K86" s="55"/>
    </row>
    <row r="87" spans="1:11" ht="13.05" customHeight="1" x14ac:dyDescent="0.25">
      <c r="A87" s="37" t="s">
        <v>102</v>
      </c>
      <c r="B87" s="38" t="s">
        <v>18</v>
      </c>
      <c r="C87" s="39" t="s">
        <v>83</v>
      </c>
      <c r="D87" s="38" t="s">
        <v>84</v>
      </c>
      <c r="E87" s="40" t="s">
        <v>21</v>
      </c>
      <c r="F87" s="40"/>
      <c r="G87" s="41">
        <v>1</v>
      </c>
      <c r="H87" s="41">
        <v>1</v>
      </c>
      <c r="I87" s="41">
        <v>0</v>
      </c>
      <c r="J87" s="45"/>
      <c r="K87" s="43" t="s">
        <v>167</v>
      </c>
    </row>
    <row r="88" spans="1:11" ht="13.05" customHeight="1" x14ac:dyDescent="0.25">
      <c r="A88" s="37"/>
      <c r="B88" s="38" t="s">
        <v>18</v>
      </c>
      <c r="C88" s="39" t="s">
        <v>48</v>
      </c>
      <c r="D88" s="38" t="s">
        <v>103</v>
      </c>
      <c r="E88" s="40" t="s">
        <v>24</v>
      </c>
      <c r="F88" s="40" t="s">
        <v>25</v>
      </c>
      <c r="G88" s="41">
        <v>7</v>
      </c>
      <c r="H88" s="41">
        <v>7</v>
      </c>
      <c r="I88" s="41">
        <v>0</v>
      </c>
      <c r="J88" s="45"/>
      <c r="K88" s="43"/>
    </row>
    <row r="89" spans="1:11" ht="13.05" customHeight="1" x14ac:dyDescent="0.25">
      <c r="A89" s="37"/>
      <c r="B89" s="38" t="s">
        <v>18</v>
      </c>
      <c r="C89" s="39" t="s">
        <v>104</v>
      </c>
      <c r="D89" s="38" t="s">
        <v>105</v>
      </c>
      <c r="E89" s="40" t="s">
        <v>24</v>
      </c>
      <c r="F89" s="40" t="s">
        <v>25</v>
      </c>
      <c r="G89" s="41">
        <v>4</v>
      </c>
      <c r="H89" s="41">
        <v>4</v>
      </c>
      <c r="I89" s="41">
        <v>0</v>
      </c>
      <c r="J89" s="45"/>
      <c r="K89" s="43"/>
    </row>
    <row r="90" spans="1:11" ht="13.05" customHeight="1" x14ac:dyDescent="0.25">
      <c r="A90" s="37"/>
      <c r="B90" s="38" t="s">
        <v>18</v>
      </c>
      <c r="C90" s="39" t="s">
        <v>48</v>
      </c>
      <c r="D90" s="38" t="s">
        <v>106</v>
      </c>
      <c r="E90" s="40" t="s">
        <v>24</v>
      </c>
      <c r="F90" s="40" t="s">
        <v>25</v>
      </c>
      <c r="G90" s="41">
        <v>6</v>
      </c>
      <c r="H90" s="41">
        <v>6</v>
      </c>
      <c r="I90" s="41">
        <v>0</v>
      </c>
      <c r="J90" s="45"/>
      <c r="K90" s="43"/>
    </row>
    <row r="91" spans="1:11" ht="13.05" customHeight="1" x14ac:dyDescent="0.25">
      <c r="A91" s="37"/>
      <c r="B91" s="38" t="s">
        <v>18</v>
      </c>
      <c r="C91" s="39" t="s">
        <v>107</v>
      </c>
      <c r="D91" s="38" t="s">
        <v>108</v>
      </c>
      <c r="E91" s="40" t="s">
        <v>21</v>
      </c>
      <c r="F91" s="40" t="s">
        <v>29</v>
      </c>
      <c r="G91" s="41">
        <v>6</v>
      </c>
      <c r="H91" s="41">
        <v>6</v>
      </c>
      <c r="I91" s="41">
        <v>0</v>
      </c>
      <c r="J91" s="45"/>
      <c r="K91" s="43"/>
    </row>
    <row r="92" spans="1:11" ht="13.05" customHeight="1" x14ac:dyDescent="0.25">
      <c r="A92" s="37"/>
      <c r="B92" s="38"/>
      <c r="C92" s="39" t="s">
        <v>16</v>
      </c>
      <c r="D92" s="38"/>
      <c r="E92" s="40"/>
      <c r="F92" s="40"/>
      <c r="G92" s="41"/>
      <c r="H92" s="41"/>
      <c r="I92" s="41">
        <f>H92-G92</f>
        <v>0</v>
      </c>
      <c r="J92" s="45"/>
      <c r="K92" s="43"/>
    </row>
    <row r="93" spans="1:11" ht="13.05" customHeight="1" x14ac:dyDescent="0.25">
      <c r="A93" s="37"/>
      <c r="B93" s="38"/>
      <c r="C93" s="39" t="s">
        <v>16</v>
      </c>
      <c r="D93" s="38"/>
      <c r="E93" s="40"/>
      <c r="F93" s="40"/>
      <c r="G93" s="41"/>
      <c r="H93" s="41"/>
      <c r="I93" s="41">
        <f>H93-G93</f>
        <v>0</v>
      </c>
      <c r="J93" s="45"/>
      <c r="K93" s="43"/>
    </row>
    <row r="94" spans="1:11" ht="13.05" customHeight="1" x14ac:dyDescent="0.25">
      <c r="A94" s="48"/>
      <c r="B94" s="49"/>
      <c r="C94" s="49"/>
      <c r="D94" s="49"/>
      <c r="E94" s="49" t="s">
        <v>32</v>
      </c>
      <c r="F94" s="49"/>
      <c r="G94" s="50">
        <f>SUM(G87:G93)</f>
        <v>24</v>
      </c>
      <c r="H94" s="50">
        <f>SUM(H87:H93)</f>
        <v>24</v>
      </c>
      <c r="I94" s="50">
        <f>H94-G94</f>
        <v>0</v>
      </c>
      <c r="J94" s="51"/>
      <c r="K94" s="52"/>
    </row>
  </sheetData>
  <autoFilter ref="A1:K12" xr:uid="{00000000-0009-0000-0000-000000000000}">
    <filterColumn colId="1">
      <filters blank="1">
        <filter val="- Weekplan item 1_x000a_- Weekplan item 2_x000a_- Weekplan item 3_x000a_- etc"/>
        <filter val="[Enter known possible issues that are a risk for you to finish the high level week planning]"/>
      </filters>
    </filterColumn>
  </autoFilter>
  <mergeCells count="24">
    <mergeCell ref="B62:K62"/>
    <mergeCell ref="B39:K39"/>
    <mergeCell ref="B28:K28"/>
    <mergeCell ref="B3:K3"/>
    <mergeCell ref="B27:K27"/>
    <mergeCell ref="B40:K40"/>
    <mergeCell ref="A49:K49"/>
    <mergeCell ref="A26:K26"/>
    <mergeCell ref="B86:K86"/>
    <mergeCell ref="A73:K73"/>
    <mergeCell ref="B15:K15"/>
    <mergeCell ref="A2:K2"/>
    <mergeCell ref="B51:K51"/>
    <mergeCell ref="B85:K85"/>
    <mergeCell ref="A84:K84"/>
    <mergeCell ref="B14:K14"/>
    <mergeCell ref="A60:K60"/>
    <mergeCell ref="B75:K75"/>
    <mergeCell ref="B61:K61"/>
    <mergeCell ref="B74:K74"/>
    <mergeCell ref="A38:K38"/>
    <mergeCell ref="B4:K4"/>
    <mergeCell ref="A13:K13"/>
    <mergeCell ref="B50:K50"/>
  </mergeCells>
  <conditionalFormatting sqref="B5:B11 B14:B24 B29:B36 B41:B47 B52:B58 B76:B82 B87:B93 B63:B71">
    <cfRule type="containsText" dxfId="10" priority="6" operator="containsText" text="Unplanned">
      <formula>NOT(ISERROR(SEARCH(("Unplanned"),(B5))))</formula>
    </cfRule>
    <cfRule type="containsText" dxfId="9" priority="7" operator="containsText" text="Planned">
      <formula>NOT(ISERROR(SEARCH(("Planned"),(B5))))</formula>
    </cfRule>
    <cfRule type="containsText" dxfId="8" priority="8" operator="containsText" text="In-Progress">
      <formula>NOT(ISERROR(SEARCH(("In-Progress"),(B5))))</formula>
    </cfRule>
    <cfRule type="containsText" dxfId="7" priority="9" operator="containsText" text="Blocked">
      <formula>NOT(ISERROR(SEARCH(("Blocked"),(B5))))</formula>
    </cfRule>
    <cfRule type="containsText" dxfId="6" priority="10" operator="containsText" text="Done">
      <formula>NOT(ISERROR(SEARCH(("Done"),(B5))))</formula>
    </cfRule>
  </conditionalFormatting>
  <conditionalFormatting sqref="B5:B12 B14:B25 B27:B37 B39:B48 B50:B59 B74:B83 B85:B94 B61:B72">
    <cfRule type="containsText" dxfId="5" priority="11" operator="containsText" text="Unplanned">
      <formula>NOT(ISERROR(SEARCH(("Unplanned"),(B5))))</formula>
    </cfRule>
    <cfRule type="containsText" dxfId="4" priority="12" operator="containsText" text="Cancelled">
      <formula>NOT(ISERROR(SEARCH(("Cancelled"),(B5))))</formula>
    </cfRule>
  </conditionalFormatting>
  <conditionalFormatting sqref="G1 G3:G12 G16:G25 G29:G37 G41:G48 G52:G59 G63:G72 G76:G83 G87:G94">
    <cfRule type="cellIs" dxfId="3" priority="15" operator="greaterThan">
      <formula>4</formula>
    </cfRule>
  </conditionalFormatting>
  <conditionalFormatting sqref="H1:H94">
    <cfRule type="containsBlanks" dxfId="2" priority="16">
      <formula>LEN(TRIM(H1))=0</formula>
    </cfRule>
  </conditionalFormatting>
  <conditionalFormatting sqref="I5:I12 I16:I25 I29:I37 I41:I48 I52:I59 I63:I72 I76:I83 I87:I94">
    <cfRule type="expression" dxfId="1" priority="13">
      <formula>H5/G5&gt;=1.5</formula>
    </cfRule>
    <cfRule type="expression" dxfId="0" priority="14">
      <formula>H5/G5&lt;=0.5</formula>
    </cfRule>
  </conditionalFormatting>
  <dataValidations count="1">
    <dataValidation type="list" allowBlank="1" sqref="F16:F24 F5:F11 F29:F36 F41:F47 F52:F58 F63:F71 F76:F82 F87:F93" xr:uid="{00000000-0002-0000-0000-000000000000}">
      <formula1>"ILO 1.6, ILO 2.6, ILO 5.1, ILO 6.4, ILO 8.5, ILO 8.6"</formula1>
    </dataValidation>
  </dataValidations>
  <pageMargins left="0.7" right="0.7" top="0.75" bottom="0.75" header="0.3" footer="0.3"/>
  <pageSetup paperSize="9" scale="52" fitToHeight="0" orientation="landscape"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95" customHeight="1" x14ac:dyDescent="0.3">
      <c r="B2" s="11" t="s">
        <v>109</v>
      </c>
      <c r="C2" s="2" t="s">
        <v>110</v>
      </c>
      <c r="D2" s="2" t="s">
        <v>111</v>
      </c>
      <c r="E2" s="2" t="s">
        <v>112</v>
      </c>
      <c r="F2" s="2" t="s">
        <v>113</v>
      </c>
      <c r="G2" s="2" t="s">
        <v>114</v>
      </c>
      <c r="H2" s="2" t="s">
        <v>115</v>
      </c>
      <c r="I2" s="2" t="s">
        <v>116</v>
      </c>
      <c r="J2" s="2" t="s">
        <v>117</v>
      </c>
      <c r="K2" s="3" t="s">
        <v>118</v>
      </c>
    </row>
    <row r="3" spans="2:11" ht="13.95" customHeight="1" x14ac:dyDescent="0.3">
      <c r="B3" s="4" t="str">
        <f>'Drop-downs'!C2</f>
        <v>-</v>
      </c>
      <c r="C3" s="6"/>
      <c r="D3" s="6"/>
      <c r="E3" s="6"/>
      <c r="F3" s="6"/>
      <c r="G3" s="6"/>
      <c r="H3" s="6"/>
      <c r="I3" s="6"/>
      <c r="J3" s="6"/>
      <c r="K3" s="7">
        <f t="shared" ref="K3:K11" si="0">SUM(C3:J3)</f>
        <v>0</v>
      </c>
    </row>
    <row r="4" spans="2:11" ht="13.95" customHeight="1" x14ac:dyDescent="0.3">
      <c r="B4" s="4" t="str">
        <f>'Drop-downs'!C3</f>
        <v>ILO 0.3</v>
      </c>
      <c r="C4" s="10">
        <f t="array" ref="C4">IFERROR(SUM(_xlfn._xlws.FILTER('Worklog_Tasks&amp;Times'!$H$5:$H$11,'Worklog_Tasks&amp;Times'!$F$5:$F$11=$B4)),0)</f>
        <v>0</v>
      </c>
      <c r="D4" s="10">
        <f t="array" ref="D4">IFERROR(SUM(_xlfn._xlws.FILTER('Worklog_Tasks&amp;Times'!$H$16:$H$24,'Worklog_Tasks&amp;Times'!$F$5:$F$11=$B4)),0)</f>
        <v>0</v>
      </c>
      <c r="E4" s="10">
        <f t="array" ref="E4">IFERROR(SUM(_xlfn._xlws.FILTER('Worklog_Tasks&amp;Times'!$H$5:$H$11,'Worklog_Tasks&amp;Times'!$F$5:$F$11=$B4)),0)</f>
        <v>0</v>
      </c>
      <c r="F4" s="10">
        <f t="array" ref="F4">IFERROR(SUM(_xlfn._xlws.FILTER('Worklog_Tasks&amp;Times'!$H$5:$H$11,'Worklog_Tasks&amp;Times'!$F$5:$F$11=$B4)),0)</f>
        <v>0</v>
      </c>
      <c r="G4" s="10">
        <f t="array" ref="G4">IFERROR(SUM(_xlfn._xlws.FILTER('Worklog_Tasks&amp;Times'!$H$5:$H$11,'Worklog_Tasks&amp;Times'!$F$5:$F$11=$B4)),0)</f>
        <v>0</v>
      </c>
      <c r="H4" s="10">
        <f t="array" ref="H4">IFERROR(SUM(_xlfn._xlws.FILTER('Worklog_Tasks&amp;Times'!$H$5:$H$11,'Worklog_Tasks&amp;Times'!$F$5:$F$11=$B4)),0)</f>
        <v>0</v>
      </c>
      <c r="I4" s="10">
        <f t="array" ref="I4">IFERROR(SUM(_xlfn._xlws.FILTER('Worklog_Tasks&amp;Times'!$H$5:$H$11,'Worklog_Tasks&amp;Times'!$F$5:$F$11=$B4)),0)</f>
        <v>0</v>
      </c>
      <c r="J4" s="10">
        <f t="array" ref="J4">IFERROR(SUM(_xlfn._xlws.FILTER('Worklog_Tasks&amp;Times'!$H$5:$H$11,'Worklog_Tasks&amp;Times'!$F$5:$F$11=$B4)),0)</f>
        <v>0</v>
      </c>
      <c r="K4" s="7">
        <f t="shared" si="0"/>
        <v>0</v>
      </c>
    </row>
    <row r="5" spans="2:11" ht="13.95" customHeight="1" x14ac:dyDescent="0.3">
      <c r="B5" s="4" t="str">
        <f>'Drop-downs'!C4</f>
        <v>ILO 1.5</v>
      </c>
      <c r="C5" s="10">
        <f t="array" ref="C5">IFERROR(SUM(_xlfn._xlws.FILTER('Worklog_Tasks&amp;Times'!$H$5:$H$11,'Worklog_Tasks&amp;Times'!$F$5:$F$11=$B5)),0)</f>
        <v>0</v>
      </c>
      <c r="D5" s="10">
        <f t="array" ref="D5">IFERROR(SUM(_xlfn._xlws.FILTER('Worklog_Tasks&amp;Times'!$H$5:$H$11,'Worklog_Tasks&amp;Times'!$F$5:$F$11=$B5)),0)</f>
        <v>0</v>
      </c>
      <c r="E5" s="10">
        <f t="array" ref="E5">IFERROR(SUM(_xlfn._xlws.FILTER('Worklog_Tasks&amp;Times'!$H$5:$H$11,'Worklog_Tasks&amp;Times'!$F$5:$F$11=$B5)),0)</f>
        <v>0</v>
      </c>
      <c r="F5" s="10">
        <f t="array" ref="F5">IFERROR(SUM(_xlfn._xlws.FILTER('Worklog_Tasks&amp;Times'!$H$5:$H$11,'Worklog_Tasks&amp;Times'!$F$5:$F$11=$B5)),0)</f>
        <v>0</v>
      </c>
      <c r="G5" s="10">
        <f t="array" ref="G5">IFERROR(SUM(_xlfn._xlws.FILTER('Worklog_Tasks&amp;Times'!$H$5:$H$11,'Worklog_Tasks&amp;Times'!$F$5:$F$11=$B5)),0)</f>
        <v>0</v>
      </c>
      <c r="H5" s="10">
        <f t="array" ref="H5">IFERROR(SUM(_xlfn._xlws.FILTER('Worklog_Tasks&amp;Times'!$H$5:$H$11,'Worklog_Tasks&amp;Times'!$F$5:$F$11=$B5)),0)</f>
        <v>0</v>
      </c>
      <c r="I5" s="10">
        <f t="array" ref="I5">IFERROR(SUM(_xlfn._xlws.FILTER('Worklog_Tasks&amp;Times'!$H$5:$H$11,'Worklog_Tasks&amp;Times'!$F$5:$F$11=$B5)),0)</f>
        <v>0</v>
      </c>
      <c r="J5" s="10">
        <f t="array" ref="J5">IFERROR(SUM(_xlfn._xlws.FILTER('Worklog_Tasks&amp;Times'!$H$5:$H$11,'Worklog_Tasks&amp;Times'!$F$5:$F$11=$B5)),0)</f>
        <v>0</v>
      </c>
      <c r="K5" s="7">
        <f t="shared" si="0"/>
        <v>0</v>
      </c>
    </row>
    <row r="6" spans="2:11" ht="13.95" customHeight="1" x14ac:dyDescent="0.3">
      <c r="B6" s="4" t="str">
        <f>'Drop-downs'!C5</f>
        <v>ILO 2.5</v>
      </c>
      <c r="C6" s="10">
        <f t="array" ref="C6">IFERROR(SUM(_xlfn._xlws.FILTER('Worklog_Tasks&amp;Times'!$H$5:$H$11,'Worklog_Tasks&amp;Times'!$F$5:$F$11=$B6)),0)</f>
        <v>0</v>
      </c>
      <c r="D6" s="10">
        <f t="array" ref="D6">IFERROR(SUM(_xlfn._xlws.FILTER('Worklog_Tasks&amp;Times'!$H$5:$H$11,'Worklog_Tasks&amp;Times'!$F$5:$F$11=$B6)),0)</f>
        <v>0</v>
      </c>
      <c r="E6" s="10">
        <f t="array" ref="E6">IFERROR(SUM(_xlfn._xlws.FILTER('Worklog_Tasks&amp;Times'!$H$5:$H$11,'Worklog_Tasks&amp;Times'!$F$5:$F$11=$B6)),0)</f>
        <v>0</v>
      </c>
      <c r="F6" s="10">
        <f t="array" ref="F6">IFERROR(SUM(_xlfn._xlws.FILTER('Worklog_Tasks&amp;Times'!$H$5:$H$11,'Worklog_Tasks&amp;Times'!$F$5:$F$11=$B6)),0)</f>
        <v>0</v>
      </c>
      <c r="G6" s="10">
        <f t="array" ref="G6">IFERROR(SUM(_xlfn._xlws.FILTER('Worklog_Tasks&amp;Times'!$H$5:$H$11,'Worklog_Tasks&amp;Times'!$F$5:$F$11=$B6)),0)</f>
        <v>0</v>
      </c>
      <c r="H6" s="10">
        <f t="array" ref="H6">IFERROR(SUM(_xlfn._xlws.FILTER('Worklog_Tasks&amp;Times'!$H$5:$H$11,'Worklog_Tasks&amp;Times'!$F$5:$F$11=$B6)),0)</f>
        <v>0</v>
      </c>
      <c r="I6" s="10">
        <f t="array" ref="I6">IFERROR(SUM(_xlfn._xlws.FILTER('Worklog_Tasks&amp;Times'!$H$5:$H$11,'Worklog_Tasks&amp;Times'!$F$5:$F$11=$B6)),0)</f>
        <v>0</v>
      </c>
      <c r="J6" s="10">
        <f t="array" ref="J6">IFERROR(SUM(_xlfn._xlws.FILTER('Worklog_Tasks&amp;Times'!$H$5:$H$11,'Worklog_Tasks&amp;Times'!$F$5:$F$11=$B6)),0)</f>
        <v>0</v>
      </c>
      <c r="K6" s="7">
        <f t="shared" si="0"/>
        <v>0</v>
      </c>
    </row>
    <row r="7" spans="2:11" ht="13.95" customHeight="1" x14ac:dyDescent="0.3">
      <c r="B7" s="4" t="str">
        <f>'Drop-downs'!C6</f>
        <v>ILO 3.5</v>
      </c>
      <c r="C7" s="10">
        <f t="array" ref="C7">IFERROR(SUM(_xlfn._xlws.FILTER('Worklog_Tasks&amp;Times'!$H$5:$H$11,'Worklog_Tasks&amp;Times'!$F$5:$F$11=$B7)),0)</f>
        <v>0</v>
      </c>
      <c r="D7" s="10">
        <f t="array" ref="D7">IFERROR(SUM(_xlfn._xlws.FILTER('Worklog_Tasks&amp;Times'!$H$5:$H$11,'Worklog_Tasks&amp;Times'!$F$5:$F$11=$B7)),0)</f>
        <v>0</v>
      </c>
      <c r="E7" s="10">
        <f t="array" ref="E7">IFERROR(SUM(_xlfn._xlws.FILTER('Worklog_Tasks&amp;Times'!$H$5:$H$11,'Worklog_Tasks&amp;Times'!$F$5:$F$11=$B7)),0)</f>
        <v>0</v>
      </c>
      <c r="F7" s="10">
        <f t="array" ref="F7">IFERROR(SUM(_xlfn._xlws.FILTER('Worklog_Tasks&amp;Times'!$H$5:$H$11,'Worklog_Tasks&amp;Times'!$F$5:$F$11=$B7)),0)</f>
        <v>0</v>
      </c>
      <c r="G7" s="10">
        <f t="array" ref="G7">IFERROR(SUM(_xlfn._xlws.FILTER('Worklog_Tasks&amp;Times'!$H$5:$H$11,'Worklog_Tasks&amp;Times'!$F$5:$F$11=$B7)),0)</f>
        <v>0</v>
      </c>
      <c r="H7" s="10">
        <f t="array" ref="H7">IFERROR(SUM(_xlfn._xlws.FILTER('Worklog_Tasks&amp;Times'!$H$5:$H$11,'Worklog_Tasks&amp;Times'!$F$5:$F$11=$B7)),0)</f>
        <v>0</v>
      </c>
      <c r="I7" s="10">
        <f t="array" ref="I7">IFERROR(SUM(_xlfn._xlws.FILTER('Worklog_Tasks&amp;Times'!$H$5:$H$11,'Worklog_Tasks&amp;Times'!$F$5:$F$11=$B7)),0)</f>
        <v>0</v>
      </c>
      <c r="J7" s="10">
        <f t="array" ref="J7">IFERROR(SUM(_xlfn._xlws.FILTER('Worklog_Tasks&amp;Times'!$H$5:$H$11,'Worklog_Tasks&amp;Times'!$F$5:$F$11=$B7)),0)</f>
        <v>0</v>
      </c>
      <c r="K7" s="7">
        <f t="shared" si="0"/>
        <v>0</v>
      </c>
    </row>
    <row r="8" spans="2:11" ht="13.95" customHeight="1" x14ac:dyDescent="0.3">
      <c r="B8" s="4" t="str">
        <f>'Drop-downs'!C7</f>
        <v>ILO 4.4</v>
      </c>
      <c r="C8" s="10">
        <f t="array" ref="C8">IFERROR(SUM(_xlfn._xlws.FILTER('Worklog_Tasks&amp;Times'!$H$5:$H$11,'Worklog_Tasks&amp;Times'!$F$5:$F$11=$B8)),0)</f>
        <v>0</v>
      </c>
      <c r="D8" s="10">
        <f t="array" ref="D8">IFERROR(SUM(_xlfn._xlws.FILTER('Worklog_Tasks&amp;Times'!$H$5:$H$11,'Worklog_Tasks&amp;Times'!$F$5:$F$11=$B8)),0)</f>
        <v>0</v>
      </c>
      <c r="E8" s="10">
        <f t="array" ref="E8">IFERROR(SUM(_xlfn._xlws.FILTER('Worklog_Tasks&amp;Times'!$H$5:$H$11,'Worklog_Tasks&amp;Times'!$F$5:$F$11=$B8)),0)</f>
        <v>0</v>
      </c>
      <c r="F8" s="10">
        <f t="array" ref="F8">IFERROR(SUM(_xlfn._xlws.FILTER('Worklog_Tasks&amp;Times'!$H$5:$H$11,'Worklog_Tasks&amp;Times'!$F$5:$F$11=$B8)),0)</f>
        <v>0</v>
      </c>
      <c r="G8" s="10">
        <f t="array" ref="G8">IFERROR(SUM(_xlfn._xlws.FILTER('Worklog_Tasks&amp;Times'!$H$5:$H$11,'Worklog_Tasks&amp;Times'!$F$5:$F$11=$B8)),0)</f>
        <v>0</v>
      </c>
      <c r="H8" s="10">
        <f t="array" ref="H8">IFERROR(SUM(_xlfn._xlws.FILTER('Worklog_Tasks&amp;Times'!$H$5:$H$11,'Worklog_Tasks&amp;Times'!$F$5:$F$11=$B8)),0)</f>
        <v>0</v>
      </c>
      <c r="I8" s="10">
        <f t="array" ref="I8">IFERROR(SUM(_xlfn._xlws.FILTER('Worklog_Tasks&amp;Times'!$H$5:$H$11,'Worklog_Tasks&amp;Times'!$F$5:$F$11=$B8)),0)</f>
        <v>0</v>
      </c>
      <c r="J8" s="10">
        <f t="array" ref="J8">IFERROR(SUM(_xlfn._xlws.FILTER('Worklog_Tasks&amp;Times'!$H$5:$H$11,'Worklog_Tasks&amp;Times'!$F$5:$F$11=$B8)),0)</f>
        <v>0</v>
      </c>
      <c r="K8" s="7">
        <f t="shared" si="0"/>
        <v>0</v>
      </c>
    </row>
    <row r="9" spans="2:11" ht="13.95" customHeight="1" x14ac:dyDescent="0.3">
      <c r="B9" s="4" t="str">
        <f>'Drop-downs'!C8</f>
        <v>ILO 7.3</v>
      </c>
      <c r="C9" s="10">
        <f t="array" ref="C9">IFERROR(SUM(_xlfn._xlws.FILTER('Worklog_Tasks&amp;Times'!$H$5:$H$11,'Worklog_Tasks&amp;Times'!$F$5:$F$11=$B9)),0)</f>
        <v>0</v>
      </c>
      <c r="D9" s="10">
        <f t="array" ref="D9">IFERROR(SUM(_xlfn._xlws.FILTER('Worklog_Tasks&amp;Times'!$H$5:$H$11,'Worklog_Tasks&amp;Times'!$F$5:$F$11=$B9)),0)</f>
        <v>0</v>
      </c>
      <c r="E9" s="10">
        <f t="array" ref="E9">IFERROR(SUM(_xlfn._xlws.FILTER('Worklog_Tasks&amp;Times'!$H$5:$H$11,'Worklog_Tasks&amp;Times'!$F$5:$F$11=$B9)),0)</f>
        <v>0</v>
      </c>
      <c r="F9" s="10">
        <f t="array" ref="F9">IFERROR(SUM(_xlfn._xlws.FILTER('Worklog_Tasks&amp;Times'!$H$5:$H$11,'Worklog_Tasks&amp;Times'!$F$5:$F$11=$B9)),0)</f>
        <v>0</v>
      </c>
      <c r="G9" s="10">
        <f t="array" ref="G9">IFERROR(SUM(_xlfn._xlws.FILTER('Worklog_Tasks&amp;Times'!$H$5:$H$11,'Worklog_Tasks&amp;Times'!$F$5:$F$11=$B9)),0)</f>
        <v>0</v>
      </c>
      <c r="H9" s="10">
        <f t="array" ref="H9">IFERROR(SUM(_xlfn._xlws.FILTER('Worklog_Tasks&amp;Times'!$H$5:$H$11,'Worklog_Tasks&amp;Times'!$F$5:$F$11=$B9)),0)</f>
        <v>0</v>
      </c>
      <c r="I9" s="10">
        <f t="array" ref="I9">IFERROR(SUM(_xlfn._xlws.FILTER('Worklog_Tasks&amp;Times'!$H$5:$H$11,'Worklog_Tasks&amp;Times'!$F$5:$F$11=$B9)),0)</f>
        <v>0</v>
      </c>
      <c r="J9" s="10">
        <f t="array" ref="J9">IFERROR(SUM(_xlfn._xlws.FILTER('Worklog_Tasks&amp;Times'!$H$5:$H$11,'Worklog_Tasks&amp;Times'!$F$5:$F$11=$B9)),0)</f>
        <v>0</v>
      </c>
      <c r="K9" s="7">
        <f t="shared" si="0"/>
        <v>0</v>
      </c>
    </row>
    <row r="10" spans="2:11" ht="13.95" customHeight="1" x14ac:dyDescent="0.3">
      <c r="B10" s="4" t="str">
        <f>'Drop-downs'!C9</f>
        <v>ILO 11.2</v>
      </c>
      <c r="C10" s="10">
        <f t="array" ref="C10">IFERROR(SUM(_xlfn._xlws.FILTER('Worklog_Tasks&amp;Times'!$H$5:$H$11,'Worklog_Tasks&amp;Times'!$F$5:$F$11=$B10)),0)</f>
        <v>0</v>
      </c>
      <c r="D10" s="10">
        <f t="array" ref="D10">IFERROR(SUM(_xlfn._xlws.FILTER('Worklog_Tasks&amp;Times'!$H$5:$H$11,'Worklog_Tasks&amp;Times'!$F$5:$F$11=$B10)),0)</f>
        <v>0</v>
      </c>
      <c r="E10" s="10">
        <f t="array" ref="E10">IFERROR(SUM(_xlfn._xlws.FILTER('Worklog_Tasks&amp;Times'!$H$5:$H$11,'Worklog_Tasks&amp;Times'!$F$5:$F$11=$B10)),0)</f>
        <v>0</v>
      </c>
      <c r="F10" s="10">
        <f t="array" ref="F10">IFERROR(SUM(_xlfn._xlws.FILTER('Worklog_Tasks&amp;Times'!$H$5:$H$11,'Worklog_Tasks&amp;Times'!$F$5:$F$11=$B10)),0)</f>
        <v>0</v>
      </c>
      <c r="G10" s="10">
        <f t="array" ref="G10">IFERROR(SUM(_xlfn._xlws.FILTER('Worklog_Tasks&amp;Times'!$H$5:$H$11,'Worklog_Tasks&amp;Times'!$F$5:$F$11=$B10)),0)</f>
        <v>0</v>
      </c>
      <c r="H10" s="10">
        <f t="array" ref="H10">IFERROR(SUM(_xlfn._xlws.FILTER('Worklog_Tasks&amp;Times'!$H$5:$H$11,'Worklog_Tasks&amp;Times'!$F$5:$F$11=$B10)),0)</f>
        <v>0</v>
      </c>
      <c r="I10" s="10">
        <f t="array" ref="I10">IFERROR(SUM(_xlfn._xlws.FILTER('Worklog_Tasks&amp;Times'!$H$5:$H$11,'Worklog_Tasks&amp;Times'!$F$5:$F$11=$B10)),0)</f>
        <v>0</v>
      </c>
      <c r="J10" s="10">
        <f t="array" ref="J10">IFERROR(SUM(_xlfn._xlws.FILTER('Worklog_Tasks&amp;Times'!$H$5:$H$11,'Worklog_Tasks&amp;Times'!$F$5:$F$11=$B10)),0)</f>
        <v>0</v>
      </c>
      <c r="K10" s="7">
        <f t="shared" si="0"/>
        <v>0</v>
      </c>
    </row>
    <row r="11" spans="2:11" ht="13.95" customHeight="1" x14ac:dyDescent="0.3">
      <c r="B11" s="4">
        <f>'Drop-downs'!C10</f>
        <v>0</v>
      </c>
      <c r="C11" s="10"/>
      <c r="D11" s="10"/>
      <c r="E11" s="10"/>
      <c r="F11" s="10"/>
      <c r="G11" s="10"/>
      <c r="H11" s="10"/>
      <c r="I11" s="10"/>
      <c r="J11" s="10"/>
      <c r="K11" s="7">
        <f t="shared" si="0"/>
        <v>0</v>
      </c>
    </row>
    <row r="12" spans="2:11" ht="13.95" customHeight="1" x14ac:dyDescent="0.3">
      <c r="B12" s="11" t="s">
        <v>119</v>
      </c>
      <c r="C12" s="12">
        <f t="shared" ref="C12:J12" si="1">SUM(C3:C9)</f>
        <v>0</v>
      </c>
      <c r="D12" s="12">
        <f t="shared" si="1"/>
        <v>0</v>
      </c>
      <c r="E12" s="12">
        <f t="shared" si="1"/>
        <v>0</v>
      </c>
      <c r="F12" s="12">
        <f t="shared" si="1"/>
        <v>0</v>
      </c>
      <c r="G12" s="12">
        <f t="shared" si="1"/>
        <v>0</v>
      </c>
      <c r="H12" s="12">
        <f t="shared" si="1"/>
        <v>0</v>
      </c>
      <c r="I12" s="12">
        <f t="shared" si="1"/>
        <v>0</v>
      </c>
      <c r="J12" s="12">
        <f t="shared" si="1"/>
        <v>0</v>
      </c>
      <c r="K12" s="14"/>
    </row>
    <row r="13" spans="2:11" ht="13.95" customHeight="1" x14ac:dyDescent="0.3">
      <c r="B13" s="16"/>
      <c r="C13" s="17"/>
      <c r="D13" s="17"/>
      <c r="E13" s="17"/>
      <c r="F13" s="17"/>
      <c r="G13" s="17"/>
      <c r="H13" s="17"/>
      <c r="I13" s="17"/>
      <c r="J13" s="17"/>
      <c r="K13" s="17"/>
    </row>
    <row r="14" spans="2:11" ht="15" customHeight="1" x14ac:dyDescent="0.25">
      <c r="B14" s="75" t="s">
        <v>120</v>
      </c>
      <c r="C14" s="74"/>
      <c r="D14" s="74"/>
      <c r="E14" s="74"/>
      <c r="F14" s="74"/>
      <c r="G14" s="74"/>
      <c r="H14" s="74"/>
      <c r="I14" s="74"/>
      <c r="J14" s="74"/>
      <c r="K14" s="74"/>
    </row>
    <row r="18" spans="2:6" ht="15" customHeight="1" x14ac:dyDescent="0.25">
      <c r="B18" s="9"/>
    </row>
    <row r="19" spans="2:6" ht="15" customHeight="1" x14ac:dyDescent="0.25">
      <c r="B19" s="73" t="s">
        <v>121</v>
      </c>
      <c r="C19" s="74"/>
      <c r="D19" s="74"/>
      <c r="E19" s="74"/>
      <c r="F19" s="74"/>
    </row>
    <row r="20" spans="2:6" ht="15" customHeight="1" x14ac:dyDescent="0.25">
      <c r="B20" s="74"/>
      <c r="C20" s="74"/>
      <c r="D20" s="74"/>
      <c r="E20" s="74"/>
      <c r="F20" s="74"/>
    </row>
    <row r="21" spans="2:6" ht="15" customHeight="1" x14ac:dyDescent="0.25">
      <c r="B21" s="74"/>
      <c r="C21" s="74"/>
      <c r="D21" s="74"/>
      <c r="E21" s="74"/>
      <c r="F21" s="74"/>
    </row>
    <row r="22" spans="2:6" ht="15" customHeight="1" x14ac:dyDescent="0.25">
      <c r="B22" s="74"/>
      <c r="C22" s="74"/>
      <c r="D22" s="74"/>
      <c r="E22" s="74"/>
      <c r="F22" s="74"/>
    </row>
    <row r="23" spans="2:6" ht="15" customHeight="1" x14ac:dyDescent="0.25">
      <c r="B23" s="74"/>
      <c r="C23" s="74"/>
      <c r="D23" s="74"/>
      <c r="E23" s="74"/>
      <c r="F23" s="74"/>
    </row>
  </sheetData>
  <mergeCells count="2">
    <mergeCell ref="B19:F23"/>
    <mergeCell ref="B14:K14"/>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122</v>
      </c>
      <c r="B1" s="1" t="s">
        <v>4</v>
      </c>
      <c r="C1" s="1" t="s">
        <v>123</v>
      </c>
    </row>
    <row r="2" spans="1:3" ht="15.75" customHeight="1" x14ac:dyDescent="0.25">
      <c r="A2" t="s">
        <v>124</v>
      </c>
      <c r="B2" t="s">
        <v>124</v>
      </c>
      <c r="C2" s="9" t="s">
        <v>124</v>
      </c>
    </row>
    <row r="3" spans="1:3" ht="15.75" customHeight="1" x14ac:dyDescent="0.25">
      <c r="A3" t="s">
        <v>125</v>
      </c>
      <c r="B3" t="s">
        <v>126</v>
      </c>
      <c r="C3" s="9" t="s">
        <v>127</v>
      </c>
    </row>
    <row r="4" spans="1:3" ht="15.75" customHeight="1" x14ac:dyDescent="0.25">
      <c r="A4" t="s">
        <v>128</v>
      </c>
      <c r="B4" t="s">
        <v>129</v>
      </c>
      <c r="C4" s="9" t="s">
        <v>130</v>
      </c>
    </row>
    <row r="5" spans="1:3" ht="15.75" customHeight="1" x14ac:dyDescent="0.25">
      <c r="A5" t="s">
        <v>131</v>
      </c>
      <c r="B5" t="s">
        <v>24</v>
      </c>
      <c r="C5" s="9" t="s">
        <v>132</v>
      </c>
    </row>
    <row r="6" spans="1:3" ht="15.75" customHeight="1" x14ac:dyDescent="0.25">
      <c r="A6" t="s">
        <v>133</v>
      </c>
      <c r="B6" t="s">
        <v>134</v>
      </c>
      <c r="C6" s="9" t="s">
        <v>135</v>
      </c>
    </row>
    <row r="7" spans="1:3" ht="15.75" customHeight="1" x14ac:dyDescent="0.25">
      <c r="A7" t="s">
        <v>18</v>
      </c>
      <c r="B7" t="s">
        <v>136</v>
      </c>
      <c r="C7" s="9" t="s">
        <v>137</v>
      </c>
    </row>
    <row r="8" spans="1:3" ht="15.75" customHeight="1" x14ac:dyDescent="0.25">
      <c r="A8" t="s">
        <v>138</v>
      </c>
      <c r="B8" t="s">
        <v>139</v>
      </c>
      <c r="C8" s="9" t="s">
        <v>140</v>
      </c>
    </row>
    <row r="9" spans="1:3" ht="15.75" customHeight="1" x14ac:dyDescent="0.25">
      <c r="A9" t="s">
        <v>141</v>
      </c>
      <c r="B9" s="9" t="s">
        <v>142</v>
      </c>
      <c r="C9" s="9" t="s">
        <v>143</v>
      </c>
    </row>
    <row r="10" spans="1:3" ht="15.75" customHeight="1" x14ac:dyDescent="0.25">
      <c r="B10" s="9" t="s">
        <v>144</v>
      </c>
      <c r="C10" s="9"/>
    </row>
    <row r="11" spans="1:3" ht="15.75" customHeight="1" x14ac:dyDescent="0.25">
      <c r="B11" s="9" t="s">
        <v>145</v>
      </c>
    </row>
    <row r="12" spans="1:3" ht="15.75" customHeight="1" x14ac:dyDescent="0.25">
      <c r="B12" s="9" t="s">
        <v>146</v>
      </c>
    </row>
    <row r="13" spans="1:3" ht="15.75" customHeight="1" x14ac:dyDescent="0.25">
      <c r="B13" s="9" t="s">
        <v>21</v>
      </c>
    </row>
    <row r="14" spans="1:3" ht="15.75" customHeight="1" x14ac:dyDescent="0.25">
      <c r="B14" s="9" t="s">
        <v>128</v>
      </c>
    </row>
    <row r="15" spans="1:3" ht="15.75" customHeight="1" x14ac:dyDescent="0.25">
      <c r="B15" s="9" t="s">
        <v>147</v>
      </c>
    </row>
    <row r="16" spans="1:3" ht="15.75" customHeight="1" x14ac:dyDescent="0.25">
      <c r="B16" s="9" t="s">
        <v>148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 Heijligers</dc:creator>
  <cp:lastModifiedBy>m.jaberi14979@gmail.com</cp:lastModifiedBy>
  <dcterms:created xsi:type="dcterms:W3CDTF">2020-05-11T09:26:10Z</dcterms:created>
  <dcterms:modified xsi:type="dcterms:W3CDTF">2026-01-16T13:32:11Z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